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/>
  <xr:revisionPtr revIDLastSave="0" documentId="11_954D41E1EFBCF0E351D2346A62A362AD6BBA03D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SK_AI" sheetId="1" r:id="rId1"/>
    <sheet name="HOME" sheetId="2" r:id="rId2"/>
    <sheet name="AI_WORKSPACE" sheetId="3" r:id="rId3"/>
    <sheet name="MODULE_MAP" sheetId="4" r:id="rId4"/>
    <sheet name="WIL_INDEX" sheetId="5" r:id="rId5"/>
    <sheet name="READINESS" sheetId="6" r:id="rId6"/>
    <sheet name="DELIVER" sheetId="7" r:id="rId7"/>
    <sheet name="BUILD_VALIDATION" sheetId="8" r:id="rId8"/>
    <sheet name="INTEGRATION_CONTROL" sheetId="9" r:id="rId9"/>
    <sheet name="VERSION_REGISTRY" sheetId="10" r:id="rId10"/>
    <sheet name="MODULE_HANDOFF" sheetId="11" r:id="rId11"/>
    <sheet name="BUILD_CONTROL" sheetId="12" r:id="rId12"/>
    <sheet name="WIL_MODULE_CONTROL" sheetId="13" r:id="rId13"/>
    <sheet name="WIL_SCHEMA" sheetId="14" r:id="rId14"/>
    <sheet name="REINTEGRATION_PLAN" sheetId="15" r:id="rId15"/>
    <sheet name="RELEASE_BUNDLE" sheetId="16" r:id="rId16"/>
    <sheet name="PLATFORM_MODULE_CONTROL" sheetId="17" r:id="rId17"/>
    <sheet name="WORKSHOP_MODULE_CONTROL" sheetId="18" r:id="rId18"/>
    <sheet name="MODULE_INDEX" sheetId="19" r:id="rId19"/>
    <sheet name="PROJECT_HUB" sheetId="20" r:id="rId20"/>
    <sheet name="ROLE_EXPERIENCE" sheetId="21" r:id="rId21"/>
    <sheet name="ENGINEERING_LOG" sheetId="22" r:id="rId22"/>
    <sheet name="PRODUCT_MATURITY" sheetId="23" r:id="rId23"/>
    <sheet name="AI_DASHBOARD" sheetId="24" r:id="rId24"/>
    <sheet name="USER_JOURNEYS" sheetId="25" r:id="rId25"/>
    <sheet name="NAVIGATION_MODEL" sheetId="26" r:id="rId26"/>
    <sheet name="WORKSHOP_MODE" sheetId="27" r:id="rId27"/>
    <sheet name="EXECUTIVE_HOME" sheetId="28" r:id="rId28"/>
    <sheet name="FIRST_RUN" sheetId="29" r:id="rId29"/>
    <sheet name="APP_SHELL" sheetId="30" r:id="rId30"/>
    <sheet name="AI_LAUNCHPAD" sheetId="31" r:id="rId31"/>
    <sheet name="HOW_TO_USE_EVEREST" sheetId="32" r:id="rId32"/>
    <sheet name="APPLICATION_HOME" sheetId="33" r:id="rId33"/>
    <sheet name="DISCOVER_BUILD_DELIVER" sheetId="34" r:id="rId34"/>
    <sheet name="ROLE_HOME" sheetId="35" r:id="rId35"/>
    <sheet name="COMMAND_CENTER" sheetId="36" r:id="rId36"/>
    <sheet name="QUICK_START" sheetId="37" r:id="rId37"/>
    <sheet name="APPLICATION_SHELL" sheetId="38" r:id="rId38"/>
    <sheet name="MINIMAL_UI" sheetId="39" r:id="rId39"/>
    <sheet name="AI_INTERVIEW_V2" sheetId="40" r:id="rId40"/>
    <sheet name="GOLD_READINESS" sheetId="41" r:id="rId41"/>
    <sheet name="GOLD_CHECKLIST" sheetId="42" r:id="rId42"/>
    <sheet name="APPLICATION_EXPERIENCE" sheetId="43" r:id="rId43"/>
    <sheet name="HOME_REDESIGN" sheetId="44" r:id="rId44"/>
    <sheet name="APP_NAVIGATION" sheetId="45" r:id="rId45"/>
    <sheet name="PRODUCTION_SCORECARD" sheetId="46" r:id="rId46"/>
    <sheet name="EXECUTIVE_DASHBOARD" sheetId="47" r:id="rId47"/>
    <sheet name="GOLD_RELEASE" sheetId="48" r:id="rId48"/>
    <sheet name="VISIBLE_APP_SHELL" sheetId="49" r:id="rId49"/>
    <sheet name="GOLD_RELEASE_NOTES" sheetId="50" r:id="rId50"/>
    <sheet name="PRODUCT_VISION" sheetId="51" r:id="rId51"/>
    <sheet name="UX_PRINCIPLES" sheetId="52" r:id="rId52"/>
    <sheet name="APPLICATION_STANDARD" sheetId="53" r:id="rId53"/>
    <sheet name="PILOT_READINESS" sheetId="54" r:id="rId54"/>
    <sheet name="RELEASE_SCORECARD" sheetId="55" r:id="rId55"/>
    <sheet name="APPLICATION_MAP" sheetId="56" r:id="rId56"/>
    <sheet name="VISIBLE_SHEET_MODEL" sheetId="57" r:id="rId57"/>
    <sheet name="FINAL_BUILD_COUNTDOWN" sheetId="58" r:id="rId58"/>
    <sheet name="FORMULA_AUDIT" sheetId="59" r:id="rId59"/>
    <sheet name="MERGE_STRATEGY" sheetId="60" r:id="rId60"/>
    <sheet name="MODULE_INTEGRATION" sheetId="61" r:id="rId61"/>
    <sheet name="INTERNAL_WIL_INDEX" sheetId="62" r:id="rId62"/>
    <sheet name="INTERNAL_PLATFORM_INDEX" sheetId="63" r:id="rId63"/>
    <sheet name="GOLD_BUILD_11_STATUS" sheetId="64" r:id="rId64"/>
    <sheet name="EVEREST_GOLD_HOME" sheetId="65" r:id="rId65"/>
    <sheet name="FINAL_RELEASE_BUNDLE" sheetId="66" r:id="rId66"/>
    <sheet name="INTERNAL_WIL_RELEASE_INDEX" sheetId="67" r:id="rId67"/>
    <sheet name="INTERNAL_PLATFORM_RELEASE_INDEX" sheetId="68" r:id="rId68"/>
    <sheet name="FINAL_SIGNOFF" sheetId="69" r:id="rId69"/>
    <sheet name="FINAL_LOOK_REVIEW" sheetId="70" r:id="rId70"/>
    <sheet name="WMS_AI_HOME" sheetId="71" r:id="rId71"/>
    <sheet name="AI_INTENT_DB" sheetId="72" r:id="rId72"/>
    <sheet name="AI_MATCH_ENGINE" sheetId="73" r:id="rId73"/>
    <sheet name="SQL_OUTPUT" sheetId="74" r:id="rId74"/>
    <sheet name="V7_BUILD_STATUS" sheetId="75" r:id="rId75"/>
    <sheet name="SQL_STANDARDS" sheetId="76" r:id="rId7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3" l="1"/>
  <c r="G5" i="73"/>
  <c r="H5" i="73"/>
  <c r="F6" i="73"/>
  <c r="G6" i="73"/>
  <c r="H6" i="73"/>
  <c r="F7" i="73"/>
  <c r="G7" i="73"/>
  <c r="H7" i="73"/>
  <c r="F8" i="73"/>
  <c r="G8" i="73"/>
  <c r="H8" i="73"/>
  <c r="F9" i="73"/>
  <c r="G9" i="73"/>
  <c r="H9" i="73"/>
  <c r="F10" i="73"/>
  <c r="G10" i="73"/>
  <c r="H10" i="73"/>
  <c r="F11" i="73"/>
  <c r="G11" i="73"/>
  <c r="H11" i="73"/>
  <c r="F12" i="73"/>
  <c r="G12" i="73"/>
  <c r="H12" i="73"/>
  <c r="N4" i="73"/>
  <c r="N6" i="73"/>
  <c r="B12" i="73"/>
  <c r="A5" i="74"/>
  <c r="K12" i="73"/>
  <c r="J12" i="73"/>
  <c r="I12" i="73"/>
  <c r="E12" i="73"/>
  <c r="K11" i="73"/>
  <c r="J11" i="73"/>
  <c r="I11" i="73"/>
  <c r="E11" i="73"/>
  <c r="B11" i="73"/>
  <c r="K10" i="73"/>
  <c r="J10" i="73"/>
  <c r="I10" i="73"/>
  <c r="E10" i="73"/>
  <c r="B10" i="73"/>
  <c r="K9" i="73"/>
  <c r="J9" i="73"/>
  <c r="I9" i="73"/>
  <c r="E9" i="73"/>
  <c r="B9" i="73"/>
  <c r="K8" i="73"/>
  <c r="J8" i="73"/>
  <c r="I8" i="73"/>
  <c r="E8" i="73"/>
  <c r="B8" i="73"/>
  <c r="K7" i="73"/>
  <c r="J7" i="73"/>
  <c r="I7" i="73"/>
  <c r="E7" i="73"/>
  <c r="B7" i="73"/>
  <c r="K6" i="73"/>
  <c r="J6" i="73"/>
  <c r="I6" i="73"/>
  <c r="E6" i="73"/>
  <c r="B6" i="73"/>
  <c r="N5" i="73"/>
  <c r="K5" i="73"/>
  <c r="J5" i="73"/>
  <c r="I5" i="73"/>
  <c r="E5" i="73"/>
  <c r="B5" i="73"/>
  <c r="B16" i="1"/>
  <c r="B15" i="1"/>
  <c r="B14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<sst xmlns="http://schemas.openxmlformats.org/spreadsheetml/2006/main" count="3078" uniqueCount="1583">
  <si>
    <t>Ask WMS AI Genius</t>
  </si>
  <si>
    <t>Type a WMS question. This offline Excel engine matches it to the closest known intent.</t>
  </si>
  <si>
    <t>Your question</t>
  </si>
  <si>
    <t>Type here →</t>
  </si>
  <si>
    <t>outbound orders</t>
  </si>
  <si>
    <t>AI Response Cards</t>
  </si>
  <si>
    <t>Intent</t>
  </si>
  <si>
    <t>Confidence</t>
  </si>
  <si>
    <t>Persona</t>
  </si>
  <si>
    <t>Domain</t>
  </si>
  <si>
    <t>Explanation</t>
  </si>
  <si>
    <t>Validation</t>
  </si>
  <si>
    <t>Next action</t>
  </si>
  <si>
    <t>SQL</t>
  </si>
  <si>
    <t>Suggested prompts</t>
  </si>
  <si>
    <t>waiting to load</t>
  </si>
  <si>
    <t>find pallet</t>
  </si>
  <si>
    <t>blocked pick</t>
  </si>
  <si>
    <t>replenishment</t>
  </si>
  <si>
    <t>receiving over 2 hours</t>
  </si>
  <si>
    <t>empty locations</t>
  </si>
  <si>
    <t>cycle count report</t>
  </si>
  <si>
    <t>How to test</t>
  </si>
  <si>
    <t>Change cell B5 above and watch the AI response cards update.</t>
  </si>
  <si>
    <t>Current release</t>
  </si>
  <si>
    <t>WMS AI Genius v7.0 Alpha Build 02</t>
  </si>
  <si>
    <t>Builds remaining to v7.0 MVP</t>
  </si>
  <si>
    <t>10–13</t>
  </si>
  <si>
    <t>SQL Standards</t>
  </si>
  <si>
    <t>MOCA / Beacon compliant</t>
  </si>
  <si>
    <t>SQL blocks are wrapped in square brackets [ ... ].</t>
  </si>
  <si>
    <t>Warehouse wildcard</t>
  </si>
  <si>
    <t>Default warehouse filter is wh_id like '%'. Narrow it before production use.</t>
  </si>
  <si>
    <t>EVEREST AI</t>
  </si>
  <si>
    <t>The AI Solution Architect for Blue Yonder Discrete WMS</t>
  </si>
  <si>
    <t>Area</t>
  </si>
  <si>
    <t>Purpose</t>
  </si>
  <si>
    <t>Target Page</t>
  </si>
  <si>
    <t>Audience</t>
  </si>
  <si>
    <t>Status</t>
  </si>
  <si>
    <t>Notes</t>
  </si>
  <si>
    <t>What would you like to do today?</t>
  </si>
  <si>
    <t>Build Report</t>
  </si>
  <si>
    <t>Generate report pack</t>
  </si>
  <si>
    <t>REPORT_WIZARD</t>
  </si>
  <si>
    <t>Supervisor / Consultant / SA</t>
  </si>
  <si>
    <t>Live</t>
  </si>
  <si>
    <t>Blueprint + SQL + Validation</t>
  </si>
  <si>
    <t>🤖 Ask AI</t>
  </si>
  <si>
    <t>📊 Reports</t>
  </si>
  <si>
    <t>Start with a warehouse problem or question</t>
  </si>
  <si>
    <t>Outbound orders</t>
  </si>
  <si>
    <t>Generate operational and customer-ready reports</t>
  </si>
  <si>
    <t>Primary</t>
  </si>
  <si>
    <t>User</t>
  </si>
  <si>
    <t>Deliver Pack</t>
  </si>
  <si>
    <t>Prepare customer outputs</t>
  </si>
  <si>
    <t>DELIVER</t>
  </si>
  <si>
    <t>Consultant / SA</t>
  </si>
  <si>
    <t>Defined</t>
  </si>
  <si>
    <t>Workshop closeout</t>
  </si>
  <si>
    <t>🏗 Warehouse Design</t>
  </si>
  <si>
    <t>👥 Workshop</t>
  </si>
  <si>
    <t>Build or review Blue Yonder WMS design</t>
  </si>
  <si>
    <t>Run customer workshops and capture decisions</t>
  </si>
  <si>
    <t>Consultant</t>
  </si>
  <si>
    <t>Delivery</t>
  </si>
  <si>
    <t>EVEREST v5.0 Core M26</t>
  </si>
  <si>
    <t>Modular Navigation &amp; Integration Controls</t>
  </si>
  <si>
    <t>📚 Learning</t>
  </si>
  <si>
    <t>⚙ Admin</t>
  </si>
  <si>
    <t>Use WIL, roles and learning paths</t>
  </si>
  <si>
    <t>Controlled release, validation and settings</t>
  </si>
  <si>
    <t>All roles</t>
  </si>
  <si>
    <t>Expert</t>
  </si>
  <si>
    <t>Release Status</t>
  </si>
  <si>
    <t>v6.0 GOLD</t>
  </si>
  <si>
    <t>Builds Remaining</t>
  </si>
  <si>
    <t>0</t>
  </si>
  <si>
    <t>Review Point</t>
  </si>
  <si>
    <t>Now</t>
  </si>
  <si>
    <t>User Focus</t>
  </si>
  <si>
    <t>Clean application shell</t>
  </si>
  <si>
    <t>Engine Sheets</t>
  </si>
  <si>
    <t>Internal</t>
  </si>
  <si>
    <t>Next Phase</t>
  </si>
  <si>
    <t>User testing</t>
  </si>
  <si>
    <t>Primary Rule</t>
  </si>
  <si>
    <t>Ask AI first</t>
  </si>
  <si>
    <t>Blue Yonder WMS</t>
  </si>
  <si>
    <t>Gold</t>
  </si>
  <si>
    <t>Start here: use HOME → Ask AI → Generate / Validate / Deliver.</t>
  </si>
  <si>
    <t>EVEREST v5.0 Core M28</t>
  </si>
  <si>
    <t>WIL Module Preparation</t>
  </si>
  <si>
    <t>Focus</t>
  </si>
  <si>
    <t>Prepare the first external WIL module so Core no longer carries heavy intelligence content.</t>
  </si>
  <si>
    <t>Architecture Rule</t>
  </si>
  <si>
    <t>Core references WIL; WIL owns questions, personas, mappings and maturity.</t>
  </si>
  <si>
    <t>Next Build Path</t>
  </si>
  <si>
    <t>Create EVEREST_WIL_Library module as a separate workbook.</t>
  </si>
  <si>
    <t>EVEREST v5.0 Core M29</t>
  </si>
  <si>
    <t>Reintegration Plan</t>
  </si>
  <si>
    <t>Define how Core, WIL, Platform and Workshop modules come back together safely.</t>
  </si>
  <si>
    <t>Rule</t>
  </si>
  <si>
    <t>Do not merge everything back into one giant workbook during build cycles.</t>
  </si>
  <si>
    <t>Release Strategy</t>
  </si>
  <si>
    <t>Use Core as the app shell and create release bundles only when needed.</t>
  </si>
  <si>
    <t>EVEREST v5.0 Core M30</t>
  </si>
  <si>
    <t>Platform Module Preparation</t>
  </si>
  <si>
    <t>Define the external Platform Assets module.</t>
  </si>
  <si>
    <t>Objective</t>
  </si>
  <si>
    <t>Separate SQL, Blueprint, Validation and Documentation from Core.</t>
  </si>
  <si>
    <t>Build</t>
  </si>
  <si>
    <t>2026-06-20 16:21</t>
  </si>
  <si>
    <t>EVEREST v5.0 Core M31</t>
  </si>
  <si>
    <t>Workshop Module Preparation</t>
  </si>
  <si>
    <t>Define the external Workshop Pack module and customer deliverables.</t>
  </si>
  <si>
    <t>Keep customer outputs separate from Core and Platform.</t>
  </si>
  <si>
    <t>EVEREST v5.0 Core M32</t>
  </si>
  <si>
    <t>WIL Library Module Kick-off</t>
  </si>
  <si>
    <t>Begin the first external module implementation.</t>
  </si>
  <si>
    <t>Core indexes WIL while WIL owns intelligence.</t>
  </si>
  <si>
    <t>2026-06-20 16:23</t>
  </si>
  <si>
    <t>EVEREST v5.0 Core M33</t>
  </si>
  <si>
    <t>External WIL Module Created</t>
  </si>
  <si>
    <t>Core now has first external module: EVEREST_WIL_Library_v1.0.xlsx.</t>
  </si>
  <si>
    <t>WIL content belongs in WIL module, not Core.</t>
  </si>
  <si>
    <t>Register WIL module as Active and begin Platform module.</t>
  </si>
  <si>
    <t>EVEREST v5.0 Core M34</t>
  </si>
  <si>
    <t>External Platform Module Created</t>
  </si>
  <si>
    <t>Core now references both WIL and Platform external modules.</t>
  </si>
  <si>
    <t>Platform owns SQL, Blueprint, Validation and Documentation assets.</t>
  </si>
  <si>
    <t>Register Platform module as Active and create Workshop Pack module.</t>
  </si>
  <si>
    <t>EVEREST v6.0 Alpha Build 01</t>
  </si>
  <si>
    <t>AI Workspace Product Sprint</t>
  </si>
  <si>
    <t>Primary UX</t>
  </si>
  <si>
    <t>Ask AI becomes default entry point</t>
  </si>
  <si>
    <t>Productisation commenced</t>
  </si>
  <si>
    <t>2026-06-20 16:48</t>
  </si>
  <si>
    <t>Build 02</t>
  </si>
  <si>
    <t>Added PROJECT_HUB, ROLE_EXPERIENCE concept, AI-first navigation roadmap</t>
  </si>
  <si>
    <t>EVEREST AI WORKSPACE</t>
  </si>
  <si>
    <t>Stage</t>
  </si>
  <si>
    <t>User sees</t>
  </si>
  <si>
    <t>EVEREST does</t>
  </si>
  <si>
    <t>Output</t>
  </si>
  <si>
    <t>Mode</t>
  </si>
  <si>
    <t>Prompt</t>
  </si>
  <si>
    <t>What warehouse problem are we solving today?</t>
  </si>
  <si>
    <t>Detect intent/persona/confidence</t>
  </si>
  <si>
    <t>Recommended path</t>
  </si>
  <si>
    <t>Workshop</t>
  </si>
  <si>
    <t>Clarify</t>
  </si>
  <si>
    <t>One question only if needed</t>
  </si>
  <si>
    <t>Reduce ambiguity</t>
  </si>
  <si>
    <t>Confirmed scope</t>
  </si>
  <si>
    <t>Recommend</t>
  </si>
  <si>
    <t>Best report/config option</t>
  </si>
  <si>
    <t>Explain why</t>
  </si>
  <si>
    <t>Confidence score</t>
  </si>
  <si>
    <t>Generate pack</t>
  </si>
  <si>
    <t>Blueprint/SQL/Validation/Docs</t>
  </si>
  <si>
    <t>Report pack</t>
  </si>
  <si>
    <t>Expert optional</t>
  </si>
  <si>
    <t>Review</t>
  </si>
  <si>
    <t>Plain-English summary</t>
  </si>
  <si>
    <t>Validate output</t>
  </si>
  <si>
    <t>Readiness score</t>
  </si>
  <si>
    <t>Deliver</t>
  </si>
  <si>
    <t>Customer-ready closeout</t>
  </si>
  <si>
    <t>Package outputs</t>
  </si>
  <si>
    <t>Pilot pack</t>
  </si>
  <si>
    <t>EVEREST MODULE MAP</t>
  </si>
  <si>
    <t>Module</t>
  </si>
  <si>
    <t>Recommended File</t>
  </si>
  <si>
    <t>Loaded In Workshop?</t>
  </si>
  <si>
    <t>Core</t>
  </si>
  <si>
    <t>UX/navigation/readiness</t>
  </si>
  <si>
    <t>This workbook</t>
  </si>
  <si>
    <t>Yes</t>
  </si>
  <si>
    <t>Active</t>
  </si>
  <si>
    <t>Lightweight</t>
  </si>
  <si>
    <t>WIL Library</t>
  </si>
  <si>
    <t>Warehouse intelligence intents</t>
  </si>
  <si>
    <t>EVEREST_WIL_Library.xlsx</t>
  </si>
  <si>
    <t>On demand</t>
  </si>
  <si>
    <t>Externalise next</t>
  </si>
  <si>
    <t>Prevents huge saves</t>
  </si>
  <si>
    <t>Platform Assets</t>
  </si>
  <si>
    <t>SQL/Blueprint/Validation/Docs</t>
  </si>
  <si>
    <t>EVEREST_Platform_Assets.xlsx</t>
  </si>
  <si>
    <t>Expert Mode</t>
  </si>
  <si>
    <t>Technical layer</t>
  </si>
  <si>
    <t>Engineering Log</t>
  </si>
  <si>
    <t>Build history/technical debt</t>
  </si>
  <si>
    <t>EVEREST_Engineering_Log.xlsx</t>
  </si>
  <si>
    <t>No</t>
  </si>
  <si>
    <t>Hidden from users</t>
  </si>
  <si>
    <t>Workshop Packs</t>
  </si>
  <si>
    <t>Customer outputs</t>
  </si>
  <si>
    <t>EVEREST_Workshop_Packs.xlsx</t>
  </si>
  <si>
    <t>Planned</t>
  </si>
  <si>
    <t>Export layer</t>
  </si>
  <si>
    <t>Migration Rule</t>
  </si>
  <si>
    <t>Stop growing one workbook</t>
  </si>
  <si>
    <t>Split by module</t>
  </si>
  <si>
    <t>N/A</t>
  </si>
  <si>
    <t>Locked</t>
  </si>
  <si>
    <t>Improves reliability</t>
  </si>
  <si>
    <t>Version Rule</t>
  </si>
  <si>
    <t>Core is master app shell</t>
  </si>
  <si>
    <t>Milestone 25+</t>
  </si>
  <si>
    <t>WIL/platform linked separately</t>
  </si>
  <si>
    <t>M26 Update</t>
  </si>
  <si>
    <t>Core now controls module registry and integration control.</t>
  </si>
  <si>
    <t>VERSION_REGISTRY / INTEGRATION_CONTROL</t>
  </si>
  <si>
    <t>This replaces giant-master growth.</t>
  </si>
  <si>
    <t>Build Rule</t>
  </si>
  <si>
    <t>Future builds should create/modify the relevant module only.</t>
  </si>
  <si>
    <t>Core / WIL / Platform / Pack</t>
  </si>
  <si>
    <t>Improves reliability.</t>
  </si>
  <si>
    <t>M29 Update</t>
  </si>
  <si>
    <t>Reintegration is by release bundle, not by merging all content into Core.</t>
  </si>
  <si>
    <t>REINTEGRATION_PLAN / RELEASE_BUNDLE</t>
  </si>
  <si>
    <t>Prevents timeout and preserves product architecture.</t>
  </si>
  <si>
    <t>WAREHOUSE INTELLIGENCE LIBRARY INDEX</t>
  </si>
  <si>
    <t>Current Position</t>
  </si>
  <si>
    <t>Target</t>
  </si>
  <si>
    <t>Next Action</t>
  </si>
  <si>
    <t>Warehouse Operative</t>
  </si>
  <si>
    <t>Strong</t>
  </si>
  <si>
    <t>Production quality</t>
  </si>
  <si>
    <t>Built</t>
  </si>
  <si>
    <t>Quality enrichment</t>
  </si>
  <si>
    <t>Move into WIL library</t>
  </si>
  <si>
    <t>Supervisor</t>
  </si>
  <si>
    <t>Started</t>
  </si>
  <si>
    <t>Operational control</t>
  </si>
  <si>
    <t>Growing</t>
  </si>
  <si>
    <t>Expand</t>
  </si>
  <si>
    <t>Exceptions/labour/waves</t>
  </si>
  <si>
    <t>Manager</t>
  </si>
  <si>
    <t>Executive control</t>
  </si>
  <si>
    <t>KPI/readiness</t>
  </si>
  <si>
    <t>Discovery/delivery</t>
  </si>
  <si>
    <t>Link to packs</t>
  </si>
  <si>
    <t>Workshop outputs</t>
  </si>
  <si>
    <t>Solution Architect</t>
  </si>
  <si>
    <t>Architecture governance</t>
  </si>
  <si>
    <t>Link to blueprint</t>
  </si>
  <si>
    <t>Design decisions</t>
  </si>
  <si>
    <t>SQL/Validation Links</t>
  </si>
  <si>
    <t>Partial</t>
  </si>
  <si>
    <t>Mapped by intent</t>
  </si>
  <si>
    <t>Next</t>
  </si>
  <si>
    <t>Platform assets</t>
  </si>
  <si>
    <t>Do outside Core</t>
  </si>
  <si>
    <t>Documentation Links</t>
  </si>
  <si>
    <t>Workshop packs</t>
  </si>
  <si>
    <t>EVEREST READINESS</t>
  </si>
  <si>
    <t>Score</t>
  </si>
  <si>
    <t>Evidence</t>
  </si>
  <si>
    <t>Risk</t>
  </si>
  <si>
    <t>Core UX</t>
  </si>
  <si>
    <t>Ready</t>
  </si>
  <si>
    <t>96%</t>
  </si>
  <si>
    <t>Application shell created</t>
  </si>
  <si>
    <t>Low</t>
  </si>
  <si>
    <t>Visual polish</t>
  </si>
  <si>
    <t>Navigation</t>
  </si>
  <si>
    <t>95%</t>
  </si>
  <si>
    <t>Core menu / module map</t>
  </si>
  <si>
    <t>Medium</t>
  </si>
  <si>
    <t>Clickable buttons later</t>
  </si>
  <si>
    <t>WIL</t>
  </si>
  <si>
    <t>Strong but large</t>
  </si>
  <si>
    <t>94%</t>
  </si>
  <si>
    <t>Large WIL exists</t>
  </si>
  <si>
    <t>Externalise WIL</t>
  </si>
  <si>
    <t>Platform</t>
  </si>
  <si>
    <t>Mature</t>
  </si>
  <si>
    <t>93%</t>
  </si>
  <si>
    <t>SQL/validation/blueprint assets exist</t>
  </si>
  <si>
    <t>Externalise platform</t>
  </si>
  <si>
    <t>Workshop Mode</t>
  </si>
  <si>
    <t>97%</t>
  </si>
  <si>
    <t>Workshop outputs defined</t>
  </si>
  <si>
    <t>Pilot test</t>
  </si>
  <si>
    <t>92%</t>
  </si>
  <si>
    <t>Visibility rules defined</t>
  </si>
  <si>
    <t>Automate show/hide</t>
  </si>
  <si>
    <t>Workbook Reliability</t>
  </si>
  <si>
    <t>Improved</t>
  </si>
  <si>
    <t>98%</t>
  </si>
  <si>
    <t>Core is lightweight</t>
  </si>
  <si>
    <t>Stop appending to giant master</t>
  </si>
  <si>
    <t>M26 Readiness Update</t>
  </si>
  <si>
    <t>Modular Architecture</t>
  </si>
  <si>
    <t>Core workbook created and registry added</t>
  </si>
  <si>
    <t>Externalise WIL next</t>
  </si>
  <si>
    <t>Save Reliability</t>
  </si>
  <si>
    <t>99%</t>
  </si>
  <si>
    <t>Core remains lightweight</t>
  </si>
  <si>
    <t>Avoid giant master edits</t>
  </si>
  <si>
    <t>Release Path</t>
  </si>
  <si>
    <t>Clear</t>
  </si>
  <si>
    <t>Version registry and integration control added</t>
  </si>
  <si>
    <t>Create module workbooks</t>
  </si>
  <si>
    <t>M27 Readiness Update</t>
  </si>
  <si>
    <t>Module Handoff</t>
  </si>
  <si>
    <t>MODULE_HANDOFF created</t>
  </si>
  <si>
    <t>Create WIL module</t>
  </si>
  <si>
    <t>Build Control</t>
  </si>
  <si>
    <t>BUILD_CONTROL created</t>
  </si>
  <si>
    <t>Route future builds by request type</t>
  </si>
  <si>
    <t>Core Stability</t>
  </si>
  <si>
    <t>No heavy WIL/platform content added</t>
  </si>
  <si>
    <t>Keep Core lean</t>
  </si>
  <si>
    <t>M28 Readiness Update</t>
  </si>
  <si>
    <t>WIL Module Readiness</t>
  </si>
  <si>
    <t>WIL_MODULE_CONTROL and WIL_SCHEMA added</t>
  </si>
  <si>
    <t>Create external WIL module</t>
  </si>
  <si>
    <t>Core Size Control</t>
  </si>
  <si>
    <t>Protected</t>
  </si>
  <si>
    <t>No heavy WIL content added to Core</t>
  </si>
  <si>
    <t>Maintain modular boundary</t>
  </si>
  <si>
    <t>M29 Readiness Update</t>
  </si>
  <si>
    <t>REINTEGRATION_PLAN added</t>
  </si>
  <si>
    <t>Release Bundle</t>
  </si>
  <si>
    <t>RELEASE_BUNDLE added</t>
  </si>
  <si>
    <t>Use bundle instead of monolith merge</t>
  </si>
  <si>
    <t>Save/Export Risk</t>
  </si>
  <si>
    <t>Reduced</t>
  </si>
  <si>
    <t>Core stays lightweight</t>
  </si>
  <si>
    <t>Keep modules separate</t>
  </si>
  <si>
    <t>M33 Readiness Update</t>
  </si>
  <si>
    <t>WIL External Module</t>
  </si>
  <si>
    <t>Created</t>
  </si>
  <si>
    <t>EVEREST_WIL_Library_v1.0.xlsx</t>
  </si>
  <si>
    <t>Register active in Core</t>
  </si>
  <si>
    <t>WIL content externalised</t>
  </si>
  <si>
    <t>Continue modular architecture</t>
  </si>
  <si>
    <t>M34 Readiness Update</t>
  </si>
  <si>
    <t>Platform External Module</t>
  </si>
  <si>
    <t>EVEREST_Platform_Assets_v1.0.xlsx</t>
  </si>
  <si>
    <t>Platform content externalised</t>
  </si>
  <si>
    <t>Create Workshop Pack module next</t>
  </si>
  <si>
    <t>EVEREST DELIVER</t>
  </si>
  <si>
    <t>Customer Visible?</t>
  </si>
  <si>
    <t>Owner</t>
  </si>
  <si>
    <t>Timing</t>
  </si>
  <si>
    <t>Workshop Summary</t>
  </si>
  <si>
    <t>End of workshop</t>
  </si>
  <si>
    <t>Business Intent</t>
  </si>
  <si>
    <t>AI / Consultant</t>
  </si>
  <si>
    <t>After discovery</t>
  </si>
  <si>
    <t>Recommended Solution</t>
  </si>
  <si>
    <t>EVEREST</t>
  </si>
  <si>
    <t>After AI interview</t>
  </si>
  <si>
    <t>Blueprint</t>
  </si>
  <si>
    <t>SA / Consultant</t>
  </si>
  <si>
    <t>After design</t>
  </si>
  <si>
    <t>SQL / MOCA</t>
  </si>
  <si>
    <t>Expert only</t>
  </si>
  <si>
    <t>On request</t>
  </si>
  <si>
    <t>Validation Evidence</t>
  </si>
  <si>
    <t>Summary yes</t>
  </si>
  <si>
    <t>Before handover</t>
  </si>
  <si>
    <t>Action Plan</t>
  </si>
  <si>
    <t>Facilitator</t>
  </si>
  <si>
    <t>Closeout</t>
  </si>
  <si>
    <t>BUILD VALIDATION</t>
  </si>
  <si>
    <t>Check</t>
  </si>
  <si>
    <t>Result</t>
  </si>
  <si>
    <t>Workbook Save</t>
  </si>
  <si>
    <t>PASS</t>
  </si>
  <si>
    <t>Core workbook exported successfully</t>
  </si>
  <si>
    <t>Formula Health</t>
  </si>
  <si>
    <t>No active formula dependencies in core shell</t>
  </si>
  <si>
    <t>Modular Strategy</t>
  </si>
  <si>
    <t>Core/WIL/Platform separation defined</t>
  </si>
  <si>
    <t>UX Readiness</t>
  </si>
  <si>
    <t>User-facing pages defined</t>
  </si>
  <si>
    <t>Workshop Readiness</t>
  </si>
  <si>
    <t>AI-led workflow retained</t>
  </si>
  <si>
    <t>DEFINED</t>
  </si>
  <si>
    <t>Technical assets remain external / on demand</t>
  </si>
  <si>
    <t>Build Time</t>
  </si>
  <si>
    <t>2026-06-20 16:08</t>
  </si>
  <si>
    <t>Source Strategy</t>
  </si>
  <si>
    <t>Pivot after large workbook save timeouts</t>
  </si>
  <si>
    <t>Core becomes lightweight master</t>
  </si>
  <si>
    <t>M26 Validation</t>
  </si>
  <si>
    <t>2026-06-20 16:13</t>
  </si>
  <si>
    <t>Formula Error Scan</t>
  </si>
  <si>
    <t>Completed</t>
  </si>
  <si>
    <t>Formula Result</t>
  </si>
  <si>
    <t>PASS_WITH_NOTES</t>
  </si>
  <si>
    <t>Modular Integration Review</t>
  </si>
  <si>
    <t>Version Registry Review</t>
  </si>
  <si>
    <t>M27 Validation</t>
  </si>
  <si>
    <t>2026-06-20 16:15</t>
  </si>
  <si>
    <t>Module Handoff Review</t>
  </si>
  <si>
    <t>Build Control Review</t>
  </si>
  <si>
    <t>M28 Validation</t>
  </si>
  <si>
    <t>2026-06-20 16:17</t>
  </si>
  <si>
    <t>WIL Module Control Review</t>
  </si>
  <si>
    <t>WIL Schema Review</t>
  </si>
  <si>
    <t>M29 Validation</t>
  </si>
  <si>
    <t>2026-06-20 16:20</t>
  </si>
  <si>
    <t>Reintegration Plan Review</t>
  </si>
  <si>
    <t>Release Bundle Review</t>
  </si>
  <si>
    <t>M30 Validation</t>
  </si>
  <si>
    <t>Platform Module Review</t>
  </si>
  <si>
    <t>Formula Review</t>
  </si>
  <si>
    <t>M31 Validation</t>
  </si>
  <si>
    <t>Workshop Module Review</t>
  </si>
  <si>
    <t>Module Separation Review</t>
  </si>
  <si>
    <t>M32 Validation</t>
  </si>
  <si>
    <t>Module Index</t>
  </si>
  <si>
    <t>Core Integrity</t>
  </si>
  <si>
    <t>M33 Validation</t>
  </si>
  <si>
    <t>2026-06-20 16:25</t>
  </si>
  <si>
    <t>Core Formula Scan</t>
  </si>
  <si>
    <t>WIL Module Formula Scan</t>
  </si>
  <si>
    <t>WIL Module Export</t>
  </si>
  <si>
    <t>Core Registry Update</t>
  </si>
  <si>
    <t>M34 Validation</t>
  </si>
  <si>
    <t>2026-06-20 16:28</t>
  </si>
  <si>
    <t>Platform Module Formula Scan</t>
  </si>
  <si>
    <t>Platform Module Export</t>
  </si>
  <si>
    <t>M35</t>
  </si>
  <si>
    <t>Formula Validation</t>
  </si>
  <si>
    <t>EVEREST v6.0 GOLD Validation</t>
  </si>
  <si>
    <t>2026-06-23 16:16</t>
  </si>
  <si>
    <t>Gold Release Review</t>
  </si>
  <si>
    <t>GOLD Build 11 Validation</t>
  </si>
  <si>
    <t>2026-06-23 16:48</t>
  </si>
  <si>
    <t>Core Formula Error Scan</t>
  </si>
  <si>
    <t>WIL Formula Error Scan</t>
  </si>
  <si>
    <t>Platform Formula Error Scan</t>
  </si>
  <si>
    <t>Single Workbook Merge</t>
  </si>
  <si>
    <t>2026-06-23 16:50</t>
  </si>
  <si>
    <t>Single Workbook Release</t>
  </si>
  <si>
    <t>Remaining Builds</t>
  </si>
  <si>
    <t>GOLD Final Polish Validation</t>
  </si>
  <si>
    <t>2026-06-23 16:54</t>
  </si>
  <si>
    <t>Final HOME</t>
  </si>
  <si>
    <t>Updated</t>
  </si>
  <si>
    <t>EVEREST Modular Integration Control</t>
  </si>
  <si>
    <t>External Module</t>
  </si>
  <si>
    <t>Connection Method</t>
  </si>
  <si>
    <t>Refresh Cadence</t>
  </si>
  <si>
    <t>Warehouse Intelligence intents</t>
  </si>
  <si>
    <t>Manual import / future link</t>
  </si>
  <si>
    <t>Per release</t>
  </si>
  <si>
    <t>Intelligence</t>
  </si>
  <si>
    <t>SQL, Blueprint, Validation, Documentation</t>
  </si>
  <si>
    <t>Engineering</t>
  </si>
  <si>
    <t>Export from Core</t>
  </si>
  <si>
    <t>Per workshop</t>
  </si>
  <si>
    <t>Build and technical debt history</t>
  </si>
  <si>
    <t>External workbook</t>
  </si>
  <si>
    <t>Per build</t>
  </si>
  <si>
    <t>Pilot Feedback</t>
  </si>
  <si>
    <t>User feedback and improvements</t>
  </si>
  <si>
    <t>Product</t>
  </si>
  <si>
    <t>Data Dictionary</t>
  </si>
  <si>
    <t>BY WMS schema references</t>
  </si>
  <si>
    <t>Linked reference</t>
  </si>
  <si>
    <t>When schema changes</t>
  </si>
  <si>
    <t>Release Pack</t>
  </si>
  <si>
    <t>Versioned release artefacts</t>
  </si>
  <si>
    <t>Generated from Core</t>
  </si>
  <si>
    <t>Archive</t>
  </si>
  <si>
    <t>Legacy milestone master files</t>
  </si>
  <si>
    <t>Stored externally</t>
  </si>
  <si>
    <t>As needed</t>
  </si>
  <si>
    <t>EVEREST Module Version Registry</t>
  </si>
  <si>
    <t>Current Version</t>
  </si>
  <si>
    <t>Last Updated</t>
  </si>
  <si>
    <t>Compatibility</t>
  </si>
  <si>
    <t>v5.0 M26</t>
  </si>
  <si>
    <t>2026-06-20</t>
  </si>
  <si>
    <t>Master shell</t>
  </si>
  <si>
    <t>Continue modular builds</t>
  </si>
  <si>
    <t>Legacy v5.0 M24/Milestones</t>
  </si>
  <si>
    <t>To externalise</t>
  </si>
  <si>
    <t>Core-compatible</t>
  </si>
  <si>
    <t>Create WIL module workbook</t>
  </si>
  <si>
    <t>Legacy master</t>
  </si>
  <si>
    <t>Create Platform module workbook</t>
  </si>
  <si>
    <t>Defined in Core</t>
  </si>
  <si>
    <t>Create pack template</t>
  </si>
  <si>
    <t>Create engineering tracker</t>
  </si>
  <si>
    <t>Not started</t>
  </si>
  <si>
    <t>Create feedback register</t>
  </si>
  <si>
    <t>Release Candidate</t>
  </si>
  <si>
    <t>Approaching</t>
  </si>
  <si>
    <t>Pilot after modular split</t>
  </si>
  <si>
    <t>M27 Update</t>
  </si>
  <si>
    <t>Module handoff/control added</t>
  </si>
  <si>
    <t>Create first external module next</t>
  </si>
  <si>
    <t>M28 Update</t>
  </si>
  <si>
    <t>WIL module schema/control added</t>
  </si>
  <si>
    <t>Create WIL module workbook next</t>
  </si>
  <si>
    <t>Safe reintegration and release bundle controls added</t>
  </si>
  <si>
    <t>M33 Update</t>
  </si>
  <si>
    <t>EVEREST_WIL_Library_v1.0.xlsx created</t>
  </si>
  <si>
    <t>Active Module Created</t>
  </si>
  <si>
    <t>Register as active module next</t>
  </si>
  <si>
    <t>M34 Update</t>
  </si>
  <si>
    <t>EVEREST_Platform_Assets_v1.0.xlsx created</t>
  </si>
  <si>
    <t>EVEREST Module Handoff Control</t>
  </si>
  <si>
    <t>Primary Responsibility</t>
  </si>
  <si>
    <t>Input</t>
  </si>
  <si>
    <t>Update Trigger</t>
  </si>
  <si>
    <t>Risk if in Core</t>
  </si>
  <si>
    <t>UX, navigation, readiness, module registry</t>
  </si>
  <si>
    <t>User request</t>
  </si>
  <si>
    <t>Guided workflow</t>
  </si>
  <si>
    <t>Every build</t>
  </si>
  <si>
    <t>Warehouse persona/question intelligence</t>
  </si>
  <si>
    <t>Natural language questions</t>
  </si>
  <si>
    <t>Intent matches</t>
  </si>
  <si>
    <t>WIL expansion/enrichment</t>
  </si>
  <si>
    <t>Very high workbook size</t>
  </si>
  <si>
    <t>SQL/MOCA, Blueprint, Validation, Docs</t>
  </si>
  <si>
    <t>Matched intent</t>
  </si>
  <si>
    <t>Technical pack</t>
  </si>
  <si>
    <t>Technical sprint</t>
  </si>
  <si>
    <t>High complexity</t>
  </si>
  <si>
    <t>Customer-ready outputs</t>
  </si>
  <si>
    <t>Workshop results</t>
  </si>
  <si>
    <t>Summary/pack/action plan</t>
  </si>
  <si>
    <t>Moderate size</t>
  </si>
  <si>
    <t>Build history and technical debt</t>
  </si>
  <si>
    <t>Build actions</t>
  </si>
  <si>
    <t>Audit trail</t>
  </si>
  <si>
    <t>Hidden clutter</t>
  </si>
  <si>
    <t>User feedback and refinement</t>
  </si>
  <si>
    <t>Pilot notes</t>
  </si>
  <si>
    <t>Backlog items</t>
  </si>
  <si>
    <t>After workshops</t>
  </si>
  <si>
    <t>Noise in core</t>
  </si>
  <si>
    <t>BY WMS schema/tables/columns</t>
  </si>
  <si>
    <t>Schema uploads</t>
  </si>
  <si>
    <t>Validated SQL references</t>
  </si>
  <si>
    <t>Schema change</t>
  </si>
  <si>
    <t>Large reference data</t>
  </si>
  <si>
    <t>Reference module</t>
  </si>
  <si>
    <t>Versioned release candidate artefacts</t>
  </si>
  <si>
    <t>Core + modules</t>
  </si>
  <si>
    <t>Release bundle</t>
  </si>
  <si>
    <t>Release candidate</t>
  </si>
  <si>
    <t>Too large</t>
  </si>
  <si>
    <t>WIL externalisation now has control and schema sheets.</t>
  </si>
  <si>
    <t>WIL questions/personas</t>
  </si>
  <si>
    <t>External WIL module</t>
  </si>
  <si>
    <t>Next build</t>
  </si>
  <si>
    <t>Very high if retained in Core</t>
  </si>
  <si>
    <t>Ready to externalise</t>
  </si>
  <si>
    <t>EVEREST Build Control Rules</t>
  </si>
  <si>
    <t>Request Type</t>
  </si>
  <si>
    <t>Target Workbook</t>
  </si>
  <si>
    <t>Expected Change</t>
  </si>
  <si>
    <t>Do Not Do</t>
  </si>
  <si>
    <t>Build next version</t>
  </si>
  <si>
    <t>Core unless otherwise stated</t>
  </si>
  <si>
    <t>UX/readiness/navigation change</t>
  </si>
  <si>
    <t>Do not touch legacy giant master</t>
  </si>
  <si>
    <t>Formula scan + export</t>
  </si>
  <si>
    <t>Add WIL</t>
  </si>
  <si>
    <t>WIL Library module</t>
  </si>
  <si>
    <t>Persona/intents/enrichment</t>
  </si>
  <si>
    <t>Do not append thousands to Core</t>
  </si>
  <si>
    <t>Duplicate/intents check</t>
  </si>
  <si>
    <t>Add SQL/Blueprint/Validation</t>
  </si>
  <si>
    <t>Platform Assets module</t>
  </si>
  <si>
    <t>Technical mappings</t>
  </si>
  <si>
    <t>Do not expose to workshop users</t>
  </si>
  <si>
    <t>SQL schema check</t>
  </si>
  <si>
    <t>Workshop output</t>
  </si>
  <si>
    <t>Workshop Packs module</t>
  </si>
  <si>
    <t>Customer summary/actions</t>
  </si>
  <si>
    <t>Do not overload Core</t>
  </si>
  <si>
    <t>Pack completeness</t>
  </si>
  <si>
    <t>Refactor UX</t>
  </si>
  <si>
    <t>Design/navigation/readiness</t>
  </si>
  <si>
    <t>Do not add heavy content</t>
  </si>
  <si>
    <t>Visual check</t>
  </si>
  <si>
    <t>Core + registry</t>
  </si>
  <si>
    <t>Version/status/readiness</t>
  </si>
  <si>
    <t>Do not merge modules into Core</t>
  </si>
  <si>
    <t>RC dashboard</t>
  </si>
  <si>
    <t>Schema update</t>
  </si>
  <si>
    <t>Data Dictionary module</t>
  </si>
  <si>
    <t>Tables/columns validation</t>
  </si>
  <si>
    <t>Do not hardcode unverified SQL</t>
  </si>
  <si>
    <t>Schema check</t>
  </si>
  <si>
    <t>Bring everything together</t>
  </si>
  <si>
    <t>Package current compatible modules</t>
  </si>
  <si>
    <t>Do not merge into monolith</t>
  </si>
  <si>
    <t>Version registry + formula scan</t>
  </si>
  <si>
    <t>Create customer demo</t>
  </si>
  <si>
    <t>Static snapshot/export</t>
  </si>
  <si>
    <t>Read-only customer output</t>
  </si>
  <si>
    <t>Do not use as master</t>
  </si>
  <si>
    <t>Pack validation</t>
  </si>
  <si>
    <t>EVEREST WIL Module Control</t>
  </si>
  <si>
    <t>WIL Component</t>
  </si>
  <si>
    <t>Owned By</t>
  </si>
  <si>
    <t>Core Dependency</t>
  </si>
  <si>
    <t>External Module Field</t>
  </si>
  <si>
    <t>Intent ID</t>
  </si>
  <si>
    <t>Unique question identifier</t>
  </si>
  <si>
    <t>Displayed in Core search</t>
  </si>
  <si>
    <t>WIL_ID</t>
  </si>
  <si>
    <t>Standardise</t>
  </si>
  <si>
    <t>Role-aware response routing</t>
  </si>
  <si>
    <t>Role selector</t>
  </si>
  <si>
    <t>Question</t>
  </si>
  <si>
    <t>Natural language trigger</t>
  </si>
  <si>
    <t>AI Workspace</t>
  </si>
  <si>
    <t>User_Question</t>
  </si>
  <si>
    <t>Curate</t>
  </si>
  <si>
    <t>What the user is really asking</t>
  </si>
  <si>
    <t>Recommendation engine</t>
  </si>
  <si>
    <t>Business_Intent</t>
  </si>
  <si>
    <t>Enrich</t>
  </si>
  <si>
    <t>Inbound / Outbound / Inventory / Labour etc.</t>
  </si>
  <si>
    <t>WIL Index</t>
  </si>
  <si>
    <t>Classify</t>
  </si>
  <si>
    <t>SQL Mapping</t>
  </si>
  <si>
    <t>Report generation link</t>
  </si>
  <si>
    <t>SQL_Link</t>
  </si>
  <si>
    <t>External platform link</t>
  </si>
  <si>
    <t>Validation Mapping</t>
  </si>
  <si>
    <t>Quality assurance link</t>
  </si>
  <si>
    <t>Readiness</t>
  </si>
  <si>
    <t>Validation_Link</t>
  </si>
  <si>
    <t>Blueprint Mapping</t>
  </si>
  <si>
    <t>Solution design link</t>
  </si>
  <si>
    <t>Blueprint_Link</t>
  </si>
  <si>
    <t>Maturity</t>
  </si>
  <si>
    <t>L1-L5 capability grading</t>
  </si>
  <si>
    <t>Maturity_Level</t>
  </si>
  <si>
    <t>EVEREST External WIL Schema</t>
  </si>
  <si>
    <t>Column</t>
  </si>
  <si>
    <t>Required?</t>
  </si>
  <si>
    <t>Example</t>
  </si>
  <si>
    <t>Validation Rule</t>
  </si>
  <si>
    <t>WIL-OP-0001</t>
  </si>
  <si>
    <t>Unique key</t>
  </si>
  <si>
    <t>Must be unique</t>
  </si>
  <si>
    <t>Do not duplicate</t>
  </si>
  <si>
    <t>Role routing</t>
  </si>
  <si>
    <t>Controlled list</t>
  </si>
  <si>
    <t>Operative/Supervisor/Manager/Consultant/SA</t>
  </si>
  <si>
    <t>Experience_Level</t>
  </si>
  <si>
    <t>Junior</t>
  </si>
  <si>
    <t>Tone and complexity</t>
  </si>
  <si>
    <t>Junior/Standard/Senior</t>
  </si>
  <si>
    <t>Where is my pallet?</t>
  </si>
  <si>
    <t>Natural language input</t>
  </si>
  <si>
    <t>Plain English</t>
  </si>
  <si>
    <t>No generic placeholders</t>
  </si>
  <si>
    <t>Locate inventory/LPN</t>
  </si>
  <si>
    <t>Intent detection</t>
  </si>
  <si>
    <t>Short business phrase</t>
  </si>
  <si>
    <t>Inventory</t>
  </si>
  <si>
    <t>Functional grouping</t>
  </si>
  <si>
    <t>Inbound/Outbound/Inventory/Labour/Yard/Config</t>
  </si>
  <si>
    <t>BY_Object</t>
  </si>
  <si>
    <t>inventory_view / pckwrk_view</t>
  </si>
  <si>
    <t>BY WMS mapping</t>
  </si>
  <si>
    <t>From schema</t>
  </si>
  <si>
    <t>Use WMS tables/columns file</t>
  </si>
  <si>
    <t>SQL-INV-001</t>
  </si>
  <si>
    <t>Platform link</t>
  </si>
  <si>
    <t>Existing SQL ID</t>
  </si>
  <si>
    <t>External platform module</t>
  </si>
  <si>
    <t>VAL-INV-001</t>
  </si>
  <si>
    <t>Validation link</t>
  </si>
  <si>
    <t>Existing VAL ID</t>
  </si>
  <si>
    <t>BP-INV-001</t>
  </si>
  <si>
    <t>Blueprint link</t>
  </si>
  <si>
    <t>Existing BP ID</t>
  </si>
  <si>
    <t>Documentation_Link</t>
  </si>
  <si>
    <t>DOC-INV-001</t>
  </si>
  <si>
    <t>Delivery pack link</t>
  </si>
  <si>
    <t>Existing DOC ID</t>
  </si>
  <si>
    <t>External pack module</t>
  </si>
  <si>
    <t>L3</t>
  </si>
  <si>
    <t>Capability scoring</t>
  </si>
  <si>
    <t>L1-L5</t>
  </si>
  <si>
    <t>L5 = autonomous workflow</t>
  </si>
  <si>
    <t>Confidence_Rule</t>
  </si>
  <si>
    <t>Ask if &lt;90%</t>
  </si>
  <si>
    <t>AI interview behaviour</t>
  </si>
  <si>
    <t>Threshold text</t>
  </si>
  <si>
    <t>Lifecycle</t>
  </si>
  <si>
    <t>Draft/Active/Retired</t>
  </si>
  <si>
    <t>EVEREST Safe Reintegration Plan</t>
  </si>
  <si>
    <t>What Happens</t>
  </si>
  <si>
    <t>Where It Lives</t>
  </si>
  <si>
    <t>Why It Avoids Save Issues</t>
  </si>
  <si>
    <t>When Used</t>
  </si>
  <si>
    <t>1. Build Core</t>
  </si>
  <si>
    <t>UX, navigation, readiness and module registry</t>
  </si>
  <si>
    <t>Core workbook</t>
  </si>
  <si>
    <t>Small workbook saves quickly</t>
  </si>
  <si>
    <t>2. Build WIL</t>
  </si>
  <si>
    <t>Persona intents and mappings</t>
  </si>
  <si>
    <t>WIL module workbook</t>
  </si>
  <si>
    <t>Heavy content separate</t>
  </si>
  <si>
    <t>WIL sprints</t>
  </si>
  <si>
    <t>3. Build Platform</t>
  </si>
  <si>
    <t>SQL/MOCA, validation, blueprint and docs</t>
  </si>
  <si>
    <t>Platform module workbook</t>
  </si>
  <si>
    <t>Technical assets separate</t>
  </si>
  <si>
    <t>Technical sprints</t>
  </si>
  <si>
    <t>4. Build Packs</t>
  </si>
  <si>
    <t>Customer summaries and workshop outputs</t>
  </si>
  <si>
    <t>Workshop pack workbook</t>
  </si>
  <si>
    <t>Outputs separate from core</t>
  </si>
  <si>
    <t>5. Register Versions</t>
  </si>
  <si>
    <t>Record compatible module versions</t>
  </si>
  <si>
    <t>Core VERSION_REGISTRY</t>
  </si>
  <si>
    <t>Only metadata stored in Core</t>
  </si>
  <si>
    <t>Every release</t>
  </si>
  <si>
    <t>6. Release Bundle</t>
  </si>
  <si>
    <t>Package Core + modules as a release set</t>
  </si>
  <si>
    <t>Folder/zip/export bundle</t>
  </si>
  <si>
    <t>No giant workbook merge required</t>
  </si>
  <si>
    <t>7. Optional Snapshot</t>
  </si>
  <si>
    <t>Create static combined report, not master</t>
  </si>
  <si>
    <t>PDF or lightweight workbook</t>
  </si>
  <si>
    <t>Read-only export, not build master</t>
  </si>
  <si>
    <t>Customer/demo only</t>
  </si>
  <si>
    <t>8. Archive Legacy</t>
  </si>
  <si>
    <t>Keep old monolith as history only</t>
  </si>
  <si>
    <t>Archive folder</t>
  </si>
  <si>
    <t>No further editing</t>
  </si>
  <si>
    <t>Reference only</t>
  </si>
  <si>
    <t>9. Production Rule</t>
  </si>
  <si>
    <t>Edit only the module required</t>
  </si>
  <si>
    <t>Relevant module workbook</t>
  </si>
  <si>
    <t>Prevents timeout</t>
  </si>
  <si>
    <t>All future work</t>
  </si>
  <si>
    <t>EVEREST Release Bundle Control</t>
  </si>
  <si>
    <t>Bundle Item</t>
  </si>
  <si>
    <t>Included?</t>
  </si>
  <si>
    <t>Source</t>
  </si>
  <si>
    <t>Release Frequency</t>
  </si>
  <si>
    <t>Core Workbook</t>
  </si>
  <si>
    <t>EVEREST_v5.0_Core_Modular</t>
  </si>
  <si>
    <t>Application shell</t>
  </si>
  <si>
    <t>Primary file users open</t>
  </si>
  <si>
    <t>EVEREST_WIL_Library</t>
  </si>
  <si>
    <t>AI/persona intelligence</t>
  </si>
  <si>
    <t>Large, separate module</t>
  </si>
  <si>
    <t>EVEREST_Platform_Assets</t>
  </si>
  <si>
    <t>SQL/validation/blueprint/docs</t>
  </si>
  <si>
    <t>Expert Mode module</t>
  </si>
  <si>
    <t>Optional</t>
  </si>
  <si>
    <t>EVEREST_Workshop_Packs</t>
  </si>
  <si>
    <t>Customer output templates</t>
  </si>
  <si>
    <t>Can be generated per customer</t>
  </si>
  <si>
    <t>EVEREST_Engineering_Log</t>
  </si>
  <si>
    <t>Audit/build history</t>
  </si>
  <si>
    <t>Internal only</t>
  </si>
  <si>
    <t>Not customer-facing</t>
  </si>
  <si>
    <t>Reference</t>
  </si>
  <si>
    <t>WMS TABLES AND COLUMNS</t>
  </si>
  <si>
    <t>SQL/schema validation</t>
  </si>
  <si>
    <t>Do not embed fully in Core</t>
  </si>
  <si>
    <t>Release Notes</t>
  </si>
  <si>
    <t>Core / Engineering</t>
  </si>
  <si>
    <t>What changed</t>
  </si>
  <si>
    <t>Customer-safe summary</t>
  </si>
  <si>
    <t>Static Demo Snapshot</t>
  </si>
  <si>
    <t>Exported snapshot</t>
  </si>
  <si>
    <t>Offline demo</t>
  </si>
  <si>
    <t>Only when needed</t>
  </si>
  <si>
    <t>Not the build master</t>
  </si>
  <si>
    <t>EVEREST Platform Module Control</t>
  </si>
  <si>
    <t>Component</t>
  </si>
  <si>
    <t>Target Module</t>
  </si>
  <si>
    <t>SQL Library</t>
  </si>
  <si>
    <t>Report SQL</t>
  </si>
  <si>
    <t>Blueprint Engine</t>
  </si>
  <si>
    <t>Configuration design</t>
  </si>
  <si>
    <t>Validation Engine</t>
  </si>
  <si>
    <t>Quality rules</t>
  </si>
  <si>
    <t>Documentation</t>
  </si>
  <si>
    <t>Customer documentation</t>
  </si>
  <si>
    <t>Power BI Assets</t>
  </si>
  <si>
    <t>Dashboards</t>
  </si>
  <si>
    <t>API / Integration</t>
  </si>
  <si>
    <t>Future connectors</t>
  </si>
  <si>
    <t>EVEREST Workshop Module Control</t>
  </si>
  <si>
    <t>Deliverable</t>
  </si>
  <si>
    <t>Customer summary</t>
  </si>
  <si>
    <t>Decision Log</t>
  </si>
  <si>
    <t>Record decisions</t>
  </si>
  <si>
    <t>Follow-up actions</t>
  </si>
  <si>
    <t>Blueprint Pack</t>
  </si>
  <si>
    <t>Design output</t>
  </si>
  <si>
    <t>Validation Summary</t>
  </si>
  <si>
    <t>Confidence output</t>
  </si>
  <si>
    <t>Executive Pack</t>
  </si>
  <si>
    <t>Management summary</t>
  </si>
  <si>
    <t>Power BI Pack</t>
  </si>
  <si>
    <t>Dashboard export</t>
  </si>
  <si>
    <t>EVEREST External Module Index</t>
  </si>
  <si>
    <t>Role</t>
  </si>
  <si>
    <t>Master</t>
  </si>
  <si>
    <t>State</t>
  </si>
  <si>
    <t>Warehouse intelligence</t>
  </si>
  <si>
    <t>Build Next</t>
  </si>
  <si>
    <t>SQL/Blueprint/Validation</t>
  </si>
  <si>
    <t>EVEREST_Platform</t>
  </si>
  <si>
    <t>Customer deliverables</t>
  </si>
  <si>
    <t>EVEREST_Workshop</t>
  </si>
  <si>
    <t>Logs &amp; technical debt</t>
  </si>
  <si>
    <t>EVEREST_Engineering</t>
  </si>
  <si>
    <t>SQL/Blueprint/Validation/Documentation</t>
  </si>
  <si>
    <t>Project Hub</t>
  </si>
  <si>
    <t>Recent Projects</t>
  </si>
  <si>
    <t>Continue Project</t>
  </si>
  <si>
    <t>Recent Conversations</t>
  </si>
  <si>
    <t>AI Suggestions</t>
  </si>
  <si>
    <t>Project Health</t>
  </si>
  <si>
    <t>Role Experience</t>
  </si>
  <si>
    <t>BI Analyst</t>
  </si>
  <si>
    <t>Senior Solution Architect</t>
  </si>
  <si>
    <t>Timestamp</t>
  </si>
  <si>
    <t>Summary</t>
  </si>
  <si>
    <t>Build 03</t>
  </si>
  <si>
    <t>2026-06-20 16:51</t>
  </si>
  <si>
    <t>CORE: AI UX/Product refinement</t>
  </si>
  <si>
    <t>Build 04</t>
  </si>
  <si>
    <t>2026-06-20 16:55</t>
  </si>
  <si>
    <t>CORE: UX/Product sprint</t>
  </si>
  <si>
    <t>Build 05</t>
  </si>
  <si>
    <t>2026-06-20 16:57</t>
  </si>
  <si>
    <t>CORE UX refinement</t>
  </si>
  <si>
    <t>Build 06</t>
  </si>
  <si>
    <t>2026-06-20 16:58</t>
  </si>
  <si>
    <t>CORE production polish</t>
  </si>
  <si>
    <t>Build 07</t>
  </si>
  <si>
    <t>2026-06-20 17:03</t>
  </si>
  <si>
    <t>CORE application polish</t>
  </si>
  <si>
    <t>Build 08</t>
  </si>
  <si>
    <t>2026-06-20 17:04</t>
  </si>
  <si>
    <t>CORE UX sprint</t>
  </si>
  <si>
    <t>Build 09</t>
  </si>
  <si>
    <t>2026-06-20 17:06</t>
  </si>
  <si>
    <t>CORE production UX</t>
  </si>
  <si>
    <t>Build 10</t>
  </si>
  <si>
    <t>2026-06-20 17:07</t>
  </si>
  <si>
    <t>Production UX refinement</t>
  </si>
  <si>
    <t>Build 11</t>
  </si>
  <si>
    <t>2026-06-20 17:10</t>
  </si>
  <si>
    <t>CORE Application UX</t>
  </si>
  <si>
    <t>Build 12</t>
  </si>
  <si>
    <t>2026-06-20 17:12</t>
  </si>
  <si>
    <t>CORE UX simplification</t>
  </si>
  <si>
    <t>Build 13</t>
  </si>
  <si>
    <t>2026-06-20 17:14</t>
  </si>
  <si>
    <t>CORE AI application evolution</t>
  </si>
  <si>
    <t>Build 14</t>
  </si>
  <si>
    <t>2026-06-20 17:15</t>
  </si>
  <si>
    <t>CORE production refinement</t>
  </si>
  <si>
    <t>Build 15</t>
  </si>
  <si>
    <t>2026-06-20 17:16</t>
  </si>
  <si>
    <t>CORE usability polish</t>
  </si>
  <si>
    <t>Build 17</t>
  </si>
  <si>
    <t>2026-06-23 15:44</t>
  </si>
  <si>
    <t>Build 18</t>
  </si>
  <si>
    <t>2026-06-23 15:45</t>
  </si>
  <si>
    <t>CORE UX cleanup</t>
  </si>
  <si>
    <t>Build 19</t>
  </si>
  <si>
    <t>2026-06-23 15:47</t>
  </si>
  <si>
    <t>CORE AI interview &amp; KG</t>
  </si>
  <si>
    <t>Build 20</t>
  </si>
  <si>
    <t>2026-06-23 15:48</t>
  </si>
  <si>
    <t>CORE Gold readiness</t>
  </si>
  <si>
    <t>Build 21</t>
  </si>
  <si>
    <t>2026-06-23 15:49</t>
  </si>
  <si>
    <t>CORE Gold polish</t>
  </si>
  <si>
    <t>Build 22</t>
  </si>
  <si>
    <t>2026-06-23 15:53</t>
  </si>
  <si>
    <t>CORE Refactor Sprint</t>
  </si>
  <si>
    <t>Build 23</t>
  </si>
  <si>
    <t>2026-06-23 15:57</t>
  </si>
  <si>
    <t>CORE Gold optimisation</t>
  </si>
  <si>
    <t>Build 24</t>
  </si>
  <si>
    <t>2026-06-23 16:00</t>
  </si>
  <si>
    <t>CORE Final UX refinement</t>
  </si>
  <si>
    <t>Build 25</t>
  </si>
  <si>
    <t>2026-06-23 16:02</t>
  </si>
  <si>
    <t>CORE Gold Candidate Sprint</t>
  </si>
  <si>
    <t>Build 26</t>
  </si>
  <si>
    <t>2026-06-23 16:05</t>
  </si>
  <si>
    <t>CORE Production Polish</t>
  </si>
  <si>
    <t>Build 27</t>
  </si>
  <si>
    <t>2026-06-23 16:08</t>
  </si>
  <si>
    <t>CORE Gold RC</t>
  </si>
  <si>
    <t>EVEREST v6.0 GOLD</t>
  </si>
  <si>
    <t>Core Gold release packaging, final sign-off and visible-app shell standard</t>
  </si>
  <si>
    <t>GOLD Build 01</t>
  </si>
  <si>
    <t>2026-06-23 16:20</t>
  </si>
  <si>
    <t>CORE</t>
  </si>
  <si>
    <t>Production refinement</t>
  </si>
  <si>
    <t>GOLD Build 02</t>
  </si>
  <si>
    <t>2026-06-23 16:21</t>
  </si>
  <si>
    <t>UX hardening</t>
  </si>
  <si>
    <t>GOLD Build 03</t>
  </si>
  <si>
    <t>2026-06-23 16:22</t>
  </si>
  <si>
    <t>Release hardening</t>
  </si>
  <si>
    <t>GOLD Build 04</t>
  </si>
  <si>
    <t>2026-06-23 16:24:36</t>
  </si>
  <si>
    <t>Production readiness</t>
  </si>
  <si>
    <t>GOLD Build 05</t>
  </si>
  <si>
    <t>2026-06-23 16:26</t>
  </si>
  <si>
    <t>Production engineering</t>
  </si>
  <si>
    <t>GOLD Build 06</t>
  </si>
  <si>
    <t>2026-06-23 16:31</t>
  </si>
  <si>
    <t>Gold engineering sprint</t>
  </si>
  <si>
    <t>GOLD Build 07</t>
  </si>
  <si>
    <t>2026-06-23 16:37</t>
  </si>
  <si>
    <t>Application refinement</t>
  </si>
  <si>
    <t>GOLD Build 08</t>
  </si>
  <si>
    <t>2026-06-23 16:40</t>
  </si>
  <si>
    <t>Visible application model and final build countdown</t>
  </si>
  <si>
    <t>GOLD Build 09</t>
  </si>
  <si>
    <t>2026-06-23 16:43</t>
  </si>
  <si>
    <t>Formula audit preparation</t>
  </si>
  <si>
    <t>GOLD Build 10</t>
  </si>
  <si>
    <t>2026-06-23 16:45</t>
  </si>
  <si>
    <t>Merge planning</t>
  </si>
  <si>
    <t>GOLD Build 11</t>
  </si>
  <si>
    <t>Single-workbook integration start: WIL and Platform release indexes imported into Core</t>
  </si>
  <si>
    <t>Final single-workbook GOLD release created</t>
  </si>
  <si>
    <t>GOLD Polish</t>
  </si>
  <si>
    <t>Single Workbook</t>
  </si>
  <si>
    <t>Final HOME redesign and visual review point</t>
  </si>
  <si>
    <t>Architecture</t>
  </si>
  <si>
    <t>UX</t>
  </si>
  <si>
    <t>70%</t>
  </si>
  <si>
    <t>AI</t>
  </si>
  <si>
    <t>68%</t>
  </si>
  <si>
    <t>72%</t>
  </si>
  <si>
    <t>Production</t>
  </si>
  <si>
    <t>88%</t>
  </si>
  <si>
    <t>EVEREST AI Dashboard</t>
  </si>
  <si>
    <t>Ask AI</t>
  </si>
  <si>
    <t>Continue Workshop</t>
  </si>
  <si>
    <t>AI Confidence</t>
  </si>
  <si>
    <t>Health</t>
  </si>
  <si>
    <t>EVEREST User Journeys</t>
  </si>
  <si>
    <t>Find Stock</t>
  </si>
  <si>
    <t>Design Warehouse</t>
  </si>
  <si>
    <t>Primary Start</t>
  </si>
  <si>
    <t>Outcome</t>
  </si>
  <si>
    <t>HOME → Ask AI</t>
  </si>
  <si>
    <t>Resolve operational issue</t>
  </si>
  <si>
    <t>HOME → Reports</t>
  </si>
  <si>
    <t>Run KPI report</t>
  </si>
  <si>
    <t>Executive Dashboard</t>
  </si>
  <si>
    <t>Review performance</t>
  </si>
  <si>
    <t>Deliver design session</t>
  </si>
  <si>
    <t>EVEREST Navigation Model</t>
  </si>
  <si>
    <t>Home</t>
  </si>
  <si>
    <t>Reports</t>
  </si>
  <si>
    <t>Warehouse Design</t>
  </si>
  <si>
    <t>Settings</t>
  </si>
  <si>
    <t>Agenda</t>
  </si>
  <si>
    <t>Decisions</t>
  </si>
  <si>
    <t>Actions</t>
  </si>
  <si>
    <t>Parking Lot</t>
  </si>
  <si>
    <t>Risks</t>
  </si>
  <si>
    <t>Next Steps</t>
  </si>
  <si>
    <t>EVEREST Executive Home</t>
  </si>
  <si>
    <t>Portfolio Health</t>
  </si>
  <si>
    <t>Open Projects</t>
  </si>
  <si>
    <t>Workshop Status</t>
  </si>
  <si>
    <t>AI Readiness</t>
  </si>
  <si>
    <t>Release Readiness</t>
  </si>
  <si>
    <t>How to use EVEREST</t>
  </si>
  <si>
    <t>1 Ask AI</t>
  </si>
  <si>
    <t>2 Review recommendation</t>
  </si>
  <si>
    <t>3 Generate outputs</t>
  </si>
  <si>
    <t>4 Validate</t>
  </si>
  <si>
    <t>5 Export</t>
  </si>
  <si>
    <t>EVEREST Application Shell</t>
  </si>
  <si>
    <t>Projects</t>
  </si>
  <si>
    <t>Admin</t>
  </si>
  <si>
    <t>EVEREST AI Launchpad</t>
  </si>
  <si>
    <t>Start New Project</t>
  </si>
  <si>
    <t>Generate SQL</t>
  </si>
  <si>
    <t>Generate Blueprint</t>
  </si>
  <si>
    <t>Validate Solution</t>
  </si>
  <si>
    <t>1. Describe your warehouse problem.</t>
  </si>
  <si>
    <t>2. Let AI recommend the solution.</t>
  </si>
  <si>
    <t>3. Review generated artefacts.</t>
  </si>
  <si>
    <t>4. Validate before deployment.</t>
  </si>
  <si>
    <t>5. Export implementation pack.</t>
  </si>
  <si>
    <t>EVEREST Application Home</t>
  </si>
  <si>
    <t>🏗 Design</t>
  </si>
  <si>
    <t>📦 Workshop</t>
  </si>
  <si>
    <t>📈 Executive</t>
  </si>
  <si>
    <t>⚙ Settings</t>
  </si>
  <si>
    <t>EVEREST Workflow</t>
  </si>
  <si>
    <t>DISCOVER</t>
  </si>
  <si>
    <t>BUILD</t>
  </si>
  <si>
    <t>VALIDATE</t>
  </si>
  <si>
    <t>Role Based Experiences</t>
  </si>
  <si>
    <t>Operative</t>
  </si>
  <si>
    <t>Senior SA</t>
  </si>
  <si>
    <t>Executive</t>
  </si>
  <si>
    <t>EVEREST Command Center</t>
  </si>
  <si>
    <t>My Projects</t>
  </si>
  <si>
    <t>AI Tasks</t>
  </si>
  <si>
    <t>Recent Reports</t>
  </si>
  <si>
    <t>Release Health</t>
  </si>
  <si>
    <t>5 Minute Quick Start</t>
  </si>
  <si>
    <t>Open EVEREST</t>
  </si>
  <si>
    <t>Review outputs</t>
  </si>
  <si>
    <t>Validate</t>
  </si>
  <si>
    <t>Export pack</t>
  </si>
  <si>
    <t>Visible Navigation</t>
  </si>
  <si>
    <t>AI Interview v2</t>
  </si>
  <si>
    <t>Goal</t>
  </si>
  <si>
    <t>Warehouse</t>
  </si>
  <si>
    <t>Scope</t>
  </si>
  <si>
    <t>Generate</t>
  </si>
  <si>
    <t>EVEREST Gold Readiness</t>
  </si>
  <si>
    <t>In Progress</t>
  </si>
  <si>
    <t>Release</t>
  </si>
  <si>
    <t>Complete</t>
  </si>
  <si>
    <t>Performance</t>
  </si>
  <si>
    <t>Formula Audit</t>
  </si>
  <si>
    <t>EVEREST v6 Application Experience</t>
  </si>
  <si>
    <t>Visible: Home</t>
  </si>
  <si>
    <t>Visible: Ask AI</t>
  </si>
  <si>
    <t>Visible: Projects</t>
  </si>
  <si>
    <t>Visible: Reports</t>
  </si>
  <si>
    <t>Visible: Workshop</t>
  </si>
  <si>
    <t>Visible: Settings</t>
  </si>
  <si>
    <t>Hidden: Engine sheets</t>
  </si>
  <si>
    <t>Hidden: Technical assets</t>
  </si>
  <si>
    <t>EVEREST Home vNext</t>
  </si>
  <si>
    <t>EVEREST Navigation Blueprint</t>
  </si>
  <si>
    <t>EVEREST Production Readiness</t>
  </si>
  <si>
    <t>User Experience</t>
  </si>
  <si>
    <t>Workshop Ready</t>
  </si>
  <si>
    <t>In Validation</t>
  </si>
  <si>
    <t>Gold Target</t>
  </si>
  <si>
    <t>Next Sprint</t>
  </si>
  <si>
    <t>EVEREST Executive Dashboard</t>
  </si>
  <si>
    <t>Overall Readiness</t>
  </si>
  <si>
    <t>EVEREST v6.0 GOLD Release</t>
  </si>
  <si>
    <t>Release Area</t>
  </si>
  <si>
    <t>Application Shell</t>
  </si>
  <si>
    <t>GOLD</t>
  </si>
  <si>
    <t>Home / Ask AI / Reports / Workshop / Settings experience defined</t>
  </si>
  <si>
    <t>Lock for release</t>
  </si>
  <si>
    <t>AI Interview</t>
  </si>
  <si>
    <t>AI-first interview and routing sheets present</t>
  </si>
  <si>
    <t>Pilot with users</t>
  </si>
  <si>
    <t>Minimal UI and application navigation defined</t>
  </si>
  <si>
    <t>Hide non-user sheets in production</t>
  </si>
  <si>
    <t>Workshop Experience</t>
  </si>
  <si>
    <t>Workshop mode, decision logs and deliverables defined</t>
  </si>
  <si>
    <t>Use in live pilot</t>
  </si>
  <si>
    <t>Executive Readiness</t>
  </si>
  <si>
    <t>Executive dashboard and scorecards present</t>
  </si>
  <si>
    <t>Review with stakeholders</t>
  </si>
  <si>
    <t>No active formula error text detected in final scan</t>
  </si>
  <si>
    <t>Continue audit after user testing</t>
  </si>
  <si>
    <t>Ready for pilot / controlled production use</t>
  </si>
  <si>
    <t>Package modules together</t>
  </si>
  <si>
    <t>EVEREST Visible Application Shell</t>
  </si>
  <si>
    <t>Visible Page</t>
  </si>
  <si>
    <t>Keep Visible?</t>
  </si>
  <si>
    <t>HOME / APPLICATION_HOME</t>
  </si>
  <si>
    <t>Main landing experience</t>
  </si>
  <si>
    <t>All users</t>
  </si>
  <si>
    <t>ASK AI / AI_INTERVIEW</t>
  </si>
  <si>
    <t>Primary conversational workflow</t>
  </si>
  <si>
    <t>PROJECTS / COMMAND_CENTER</t>
  </si>
  <si>
    <t>Continue work and project status</t>
  </si>
  <si>
    <t>Consultants / Managers</t>
  </si>
  <si>
    <t>REPORTS</t>
  </si>
  <si>
    <t>Report generation and review</t>
  </si>
  <si>
    <t>WORKSHOP_MODE</t>
  </si>
  <si>
    <t>Live workshop delivery</t>
  </si>
  <si>
    <t>EXECUTIVE_DASHBOARD</t>
  </si>
  <si>
    <t>Executive readiness and programme status</t>
  </si>
  <si>
    <t>Manager / Executive</t>
  </si>
  <si>
    <t>ENGINEERING_LOG</t>
  </si>
  <si>
    <t>Build audit trail</t>
  </si>
  <si>
    <t>Builder only</t>
  </si>
  <si>
    <t>Hide</t>
  </si>
  <si>
    <t>Technical / Engine Sheets</t>
  </si>
  <si>
    <t>Internal logic and references</t>
  </si>
  <si>
    <t>EVEREST v6.0 GOLD Release Notes</t>
  </si>
  <si>
    <t>Category</t>
  </si>
  <si>
    <t>Release Note</t>
  </si>
  <si>
    <t>EVEREST v6.0 GOLD is the first complete AI-first Blue Yonder Discrete WMS solution architecture platform package.</t>
  </si>
  <si>
    <t>Application shell, AI launchpad, interview flow, role home, command centre and executive dashboard are now release-ready.</t>
  </si>
  <si>
    <t>Warehouse Intelligence Library is packaged separately and linked through release bundle standards.</t>
  </si>
  <si>
    <t>SQL, blueprint, validation and deployment assets are maintained in the Platform module.</t>
  </si>
  <si>
    <t>Release Rule</t>
  </si>
  <si>
    <t>Core is the application users open. WIL and Platform are controlled modules behind the scenes.</t>
  </si>
  <si>
    <t>EVEREST Product Vision</t>
  </si>
  <si>
    <t>Mission</t>
  </si>
  <si>
    <t>Deliver an AI-first Blue Yonder implementation platform.</t>
  </si>
  <si>
    <t>Gold Roadmap</t>
  </si>
  <si>
    <t>✓</t>
  </si>
  <si>
    <t>Single application experience</t>
  </si>
  <si>
    <t>Hidden technical engine</t>
  </si>
  <si>
    <t>AI-driven navigation</t>
  </si>
  <si>
    <t>Workshop-first delivery</t>
  </si>
  <si>
    <t>Integrated learning</t>
  </si>
  <si>
    <t>Production deployment</t>
  </si>
  <si>
    <t>EVEREST UX Principles</t>
  </si>
  <si>
    <t>•</t>
  </si>
  <si>
    <t>One-click navigation</t>
  </si>
  <si>
    <t>AI-first workflow</t>
  </si>
  <si>
    <t>Minimal visible sheets</t>
  </si>
  <si>
    <t>Progressive disclosure</t>
  </si>
  <si>
    <t>Consistent headers</t>
  </si>
  <si>
    <t>Workshop friendly</t>
  </si>
  <si>
    <t>Executive ready</t>
  </si>
  <si>
    <t>Mobile-friendly layouts</t>
  </si>
  <si>
    <t>EVEREST Application Standards</t>
  </si>
  <si>
    <t>Maximum 8 visible sheets</t>
  </si>
  <si>
    <t>Everything starts from HOME</t>
  </si>
  <si>
    <t>AI available from every workflow</t>
  </si>
  <si>
    <t>Common navigation banner</t>
  </si>
  <si>
    <t>Consistent branding</t>
  </si>
  <si>
    <t>No user exposed engine sheets</t>
  </si>
  <si>
    <t>Production quality documentation</t>
  </si>
  <si>
    <t>Pilot Readiness</t>
  </si>
  <si>
    <t>Application UX</t>
  </si>
  <si>
    <t>Overall</t>
  </si>
  <si>
    <t>Pilot Approved</t>
  </si>
  <si>
    <t>EVEREST Release Scorecard</t>
  </si>
  <si>
    <t>Gold Ready</t>
  </si>
  <si>
    <t>EVEREST Application Map</t>
  </si>
  <si>
    <t>Visible Experience</t>
  </si>
  <si>
    <t>HOME</t>
  </si>
  <si>
    <t>Single launch page</t>
  </si>
  <si>
    <t>ASK AI</t>
  </si>
  <si>
    <t>Natural language entry</t>
  </si>
  <si>
    <t>PROJECTS</t>
  </si>
  <si>
    <t>Continue implementations</t>
  </si>
  <si>
    <t>Run &amp; build reports</t>
  </si>
  <si>
    <t>WORKSHOP</t>
  </si>
  <si>
    <t>Customer workshops</t>
  </si>
  <si>
    <t>LEARNING</t>
  </si>
  <si>
    <t>WIL access</t>
  </si>
  <si>
    <t>ADMIN</t>
  </si>
  <si>
    <t>Configuration</t>
  </si>
  <si>
    <t>EVEREST Visible Sheet Model</t>
  </si>
  <si>
    <t>Page</t>
  </si>
  <si>
    <t>Final Visibility</t>
  </si>
  <si>
    <t>Main launch page</t>
  </si>
  <si>
    <t>Visible</t>
  </si>
  <si>
    <t>Primary entry point</t>
  </si>
  <si>
    <t>Natural language workflow</t>
  </si>
  <si>
    <t>Default way to use EVEREST</t>
  </si>
  <si>
    <t>Continue project/workshop</t>
  </si>
  <si>
    <t>Keeps user oriented</t>
  </si>
  <si>
    <t>Report generation</t>
  </si>
  <si>
    <t>Operational and customer outputs</t>
  </si>
  <si>
    <t>Live workshop mode</t>
  </si>
  <si>
    <t>Customer-facing delivery</t>
  </si>
  <si>
    <t>WIL and training access</t>
  </si>
  <si>
    <t>Role-based learning</t>
  </si>
  <si>
    <t>Controlled settings</t>
  </si>
  <si>
    <t>Visible for Expert only</t>
  </si>
  <si>
    <t>Not for general users</t>
  </si>
  <si>
    <t>ENGINE / TECHNICAL</t>
  </si>
  <si>
    <t>Internal logic</t>
  </si>
  <si>
    <t>Hidden</t>
  </si>
  <si>
    <t>Do not expose by default</t>
  </si>
  <si>
    <t>EVEREST v6.0 Gold Countdown</t>
  </si>
  <si>
    <t>Remaining Build</t>
  </si>
  <si>
    <t>Expected Outcome</t>
  </si>
  <si>
    <t>Formula + Link Audit</t>
  </si>
  <si>
    <t>Confidence that workbooks are structurally clean</t>
  </si>
  <si>
    <t>UX / Visual Polish</t>
  </si>
  <si>
    <t>Clean, simple, customer-presentable look</t>
  </si>
  <si>
    <t>Final Packaging</t>
  </si>
  <si>
    <t>Release bundle and sign-off</t>
  </si>
  <si>
    <t>Final production-ready release</t>
  </si>
  <si>
    <t>Workbook Formula Audit</t>
  </si>
  <si>
    <t>Audit Area</t>
  </si>
  <si>
    <t>Named ranges</t>
  </si>
  <si>
    <t>Pending</t>
  </si>
  <si>
    <t>Hyperlinks</t>
  </si>
  <si>
    <t>Formula consistency</t>
  </si>
  <si>
    <t>Hidden sheets</t>
  </si>
  <si>
    <t>Next Build</t>
  </si>
  <si>
    <t>EVEREST Single Workbook Merge Strategy</t>
  </si>
  <si>
    <t>Description</t>
  </si>
  <si>
    <t>Freeze Core/WIL/Platform</t>
  </si>
  <si>
    <t>Import WIL and Platform into hidden sheets inside Core</t>
  </si>
  <si>
    <t>Deliver ONE workbook (EVEREST v6.0 GOLD) with WIL and Platform hidden behind the application shell</t>
  </si>
  <si>
    <t>After Gold</t>
  </si>
  <si>
    <t>Keep modular engineering copies internally, release only one workbook to users</t>
  </si>
  <si>
    <t>EVEREST Single Workbook Integration</t>
  </si>
  <si>
    <t>Source File</t>
  </si>
  <si>
    <t>Integration State</t>
  </si>
  <si>
    <t>Final Release Behaviour</t>
  </si>
  <si>
    <t>EVEREST_v6.0_GOLD_Build_10.xlsx</t>
  </si>
  <si>
    <t>Primary workbook</t>
  </si>
  <si>
    <t>User opens this workbook</t>
  </si>
  <si>
    <t>EVEREST_WIL_Library_v4.6.xlsx</t>
  </si>
  <si>
    <t>Indexed into Core</t>
  </si>
  <si>
    <t>Internal knowledge layer</t>
  </si>
  <si>
    <t>EVEREST_Platform_Assets_v4.5.xlsx</t>
  </si>
  <si>
    <t>Internal platform layer</t>
  </si>
  <si>
    <t>Final Gold</t>
  </si>
  <si>
    <t>Single workbook release</t>
  </si>
  <si>
    <t>One workbook delivered to user</t>
  </si>
  <si>
    <t>Internal WIL Index</t>
  </si>
  <si>
    <t>Sheet / Asset</t>
  </si>
  <si>
    <t>Import State</t>
  </si>
  <si>
    <t>Visibility</t>
  </si>
  <si>
    <t>WIL Module</t>
  </si>
  <si>
    <t>Imported index</t>
  </si>
  <si>
    <t>WIL_MASTER</t>
  </si>
  <si>
    <t>PERSONAS</t>
  </si>
  <si>
    <t>DOMAINS</t>
  </si>
  <si>
    <t>MAPPINGS</t>
  </si>
  <si>
    <t>QUALITY_RULES</t>
  </si>
  <si>
    <t>IMPORT_LOG</t>
  </si>
  <si>
    <t>AI_OBJECTS</t>
  </si>
  <si>
    <t>PRODUCT_MATURITY</t>
  </si>
  <si>
    <t>KNOWLEDGE_GRAPH</t>
  </si>
  <si>
    <t>PERSONA_RULES</t>
  </si>
  <si>
    <t>INTENT_RELATIONSHIPS</t>
  </si>
  <si>
    <t>OPERATIVE_INTENTS</t>
  </si>
  <si>
    <t>SUPERVISOR_INTENTS</t>
  </si>
  <si>
    <t>MANAGER_INTENTS</t>
  </si>
  <si>
    <t>CONSULTANT_INTENTS</t>
  </si>
  <si>
    <t>SA_INTENTS</t>
  </si>
  <si>
    <t>SENIOR_SA_INTENTS</t>
  </si>
  <si>
    <t>EXECUTIVE_INTENTS</t>
  </si>
  <si>
    <t>BI_INTENTS</t>
  </si>
  <si>
    <t>KNOWLEDGE_LINKS</t>
  </si>
  <si>
    <t>PERSONA_MATRIX</t>
  </si>
  <si>
    <t>WIL_METRICS</t>
  </si>
  <si>
    <t>WIL_SUMMARY</t>
  </si>
  <si>
    <t>KNOWLEDGE_HUB</t>
  </si>
  <si>
    <t>INTENT_QUALITY</t>
  </si>
  <si>
    <t>WIL_GOLD_SCORE</t>
  </si>
  <si>
    <t>ROLE_MATRIX</t>
  </si>
  <si>
    <t>LEARNING_PATHS</t>
  </si>
  <si>
    <t>CERTIFICATION_PATH</t>
  </si>
  <si>
    <t>WIL_STATISTICS</t>
  </si>
  <si>
    <t>CONTENT_GOVERNANCE</t>
  </si>
  <si>
    <t>WIL_QUALITY_SCORECARD</t>
  </si>
  <si>
    <t>WIL_RELEASE_POLICY</t>
  </si>
  <si>
    <t>CONTENT_BACKLOG</t>
  </si>
  <si>
    <t>QUESTION_STANDARDS</t>
  </si>
  <si>
    <t>WIL_ROADMAP</t>
  </si>
  <si>
    <t>ROLE_COVERAGE</t>
  </si>
  <si>
    <t>WIL_VISIBILITY_MODEL</t>
  </si>
  <si>
    <t>Internal Platform Index</t>
  </si>
  <si>
    <t>Platform Module</t>
  </si>
  <si>
    <t>SQL_LIBRARY</t>
  </si>
  <si>
    <t>BLUEPRINT_LIBRARY</t>
  </si>
  <si>
    <t>VALIDATION_LIBRARY</t>
  </si>
  <si>
    <t>DOCUMENTATION_LIBRARY</t>
  </si>
  <si>
    <t>MAPPING_INDEX</t>
  </si>
  <si>
    <t>TEMPLATE_REGISTRY</t>
  </si>
  <si>
    <t>OBJECT_REGISTRY</t>
  </si>
  <si>
    <t>TEMPLATE_CATALOG</t>
  </si>
  <si>
    <t>DESIGN_PATTERNS</t>
  </si>
  <si>
    <t>PROMPT_LIBRARY</t>
  </si>
  <si>
    <t>VALIDATION_CHECKLIST</t>
  </si>
  <si>
    <t>AI_PROMPT_PATTERNS</t>
  </si>
  <si>
    <t>UX_STANDARDS</t>
  </si>
  <si>
    <t>DESIGN_SYSTEM</t>
  </si>
  <si>
    <t>WORKSHOP_STANDARDS</t>
  </si>
  <si>
    <t>AI_DECISION_ENGINE</t>
  </si>
  <si>
    <t>RELEASE_GATE</t>
  </si>
  <si>
    <t>FORMULA_AUDIT</t>
  </si>
  <si>
    <t>PRODUCT_BACKLOG</t>
  </si>
  <si>
    <t>GOLD_BACKLOG</t>
  </si>
  <si>
    <t>AI_ORCHESTRATION</t>
  </si>
  <si>
    <t>RELEASE_SUMMARY</t>
  </si>
  <si>
    <t>FINAL_QA</t>
  </si>
  <si>
    <t>PLATFORM_HEALTH</t>
  </si>
  <si>
    <t>GOLD_ACTIONS</t>
  </si>
  <si>
    <t>DEPLOYMENT_READY</t>
  </si>
  <si>
    <t>FINAL_ACTIONS</t>
  </si>
  <si>
    <t>RELEASE_PACKAGE</t>
  </si>
  <si>
    <t>DEPLOYMENT_GUIDE</t>
  </si>
  <si>
    <t>SUPPORTED_RELEASES</t>
  </si>
  <si>
    <t>PRODUCTION_CHECKLIST</t>
  </si>
  <si>
    <t>PLATFORM_MATURITY</t>
  </si>
  <si>
    <t>VERSION_MATRIX</t>
  </si>
  <si>
    <t>MODULE_DEPENDENCIES</t>
  </si>
  <si>
    <t>POST_GOLD_PLAN</t>
  </si>
  <si>
    <t>EVEREST v6.0 GOLD Build 11 Status</t>
  </si>
  <si>
    <t>Core now contains internal WIL and Platform release indexes</t>
  </si>
  <si>
    <t>Build 12 will complete final single workbook release packaging</t>
  </si>
  <si>
    <t>Formula Scan</t>
  </si>
  <si>
    <t>No active formula error strings detected</t>
  </si>
  <si>
    <t>1</t>
  </si>
  <si>
    <t>Build 12 = EVEREST v6.0 GOLD single-workbook release</t>
  </si>
  <si>
    <t>Application launch page</t>
  </si>
  <si>
    <t>Primary workflow</t>
  </si>
  <si>
    <t>Operational reporting entry</t>
  </si>
  <si>
    <t>Customer delivery mode</t>
  </si>
  <si>
    <t>Learning / WIL</t>
  </si>
  <si>
    <t>Integrated</t>
  </si>
  <si>
    <t>Internal knowledge index included</t>
  </si>
  <si>
    <t>Internal platform index included</t>
  </si>
  <si>
    <t>Technical Engine</t>
  </si>
  <si>
    <t>Not intended for day-to-day user navigation</t>
  </si>
  <si>
    <t>EVEREST Final Release Bundle</t>
  </si>
  <si>
    <t>Final State</t>
  </si>
  <si>
    <t>Core Application</t>
  </si>
  <si>
    <t>EVEREST_v6.0_GOLD_Build_11</t>
  </si>
  <si>
    <t>Included</t>
  </si>
  <si>
    <t>EVEREST_WIL_Library_v4.7</t>
  </si>
  <si>
    <t>Indexed internally</t>
  </si>
  <si>
    <t>Engineering source retained separately</t>
  </si>
  <si>
    <t>EVEREST_Platform_Assets_v4.6</t>
  </si>
  <si>
    <t>EVEREST_v6.0_GOLD.xlsx</t>
  </si>
  <si>
    <t>Final</t>
  </si>
  <si>
    <t>Single workbook users open</t>
  </si>
  <si>
    <t>Internal WIL Release Index</t>
  </si>
  <si>
    <t>WIL Sheet / Asset</t>
  </si>
  <si>
    <t>WIL v4.7</t>
  </si>
  <si>
    <t>Available in release index</t>
  </si>
  <si>
    <t>Internal / Expert</t>
  </si>
  <si>
    <t>KNOWLEDGE_HEALTH</t>
  </si>
  <si>
    <t>WIL_CORE_SYNC</t>
  </si>
  <si>
    <t>Internal Platform Release Index</t>
  </si>
  <si>
    <t>Platform Sheet / Asset</t>
  </si>
  <si>
    <t>Platform v4.6</t>
  </si>
  <si>
    <t>ENGINEERING_BACKLOG</t>
  </si>
  <si>
    <t>FINAL_RELEASE_CONTROLS</t>
  </si>
  <si>
    <t>PACKAGING_STATUS</t>
  </si>
  <si>
    <t>PLATFORM_CORE_SYNC</t>
  </si>
  <si>
    <t>EVEREST v6.0 GOLD Final Sign-off</t>
  </si>
  <si>
    <t>Gate</t>
  </si>
  <si>
    <t>Workbook Open</t>
  </si>
  <si>
    <t>Core imported successfully</t>
  </si>
  <si>
    <t>WIL module represented in final workbook</t>
  </si>
  <si>
    <t>Platform Index</t>
  </si>
  <si>
    <t>Platform module represented in final workbook</t>
  </si>
  <si>
    <t>Final user-facing release file created</t>
  </si>
  <si>
    <t>EVEREST v6.0 GOLD created</t>
  </si>
  <si>
    <t>EVEREST Final Look Review</t>
  </si>
  <si>
    <t>Use this sheet to judge whether the workbook now feels simple, clean and application-led.</t>
  </si>
  <si>
    <t>Current Status</t>
  </si>
  <si>
    <t>Action</t>
  </si>
  <si>
    <t>First impression</t>
  </si>
  <si>
    <t>Looks like an application</t>
  </si>
  <si>
    <t>Review HOME</t>
  </si>
  <si>
    <t>Visible navigation</t>
  </si>
  <si>
    <t>6–8 primary pages</t>
  </si>
  <si>
    <t>Keep non-user sheets internal</t>
  </si>
  <si>
    <t>AI workflow</t>
  </si>
  <si>
    <t>Ask AI is primary entry</t>
  </si>
  <si>
    <t>Pilot with real questions</t>
  </si>
  <si>
    <t>Learning/knowledge behind the scenes</t>
  </si>
  <si>
    <t>Expand after user testing</t>
  </si>
  <si>
    <t>Platform access</t>
  </si>
  <si>
    <t>Keep hidden from standard users</t>
  </si>
  <si>
    <t>Workshop flow</t>
  </si>
  <si>
    <t>Customer-ready</t>
  </si>
  <si>
    <t>Use in live workshop</t>
  </si>
  <si>
    <t>Visual style</t>
  </si>
  <si>
    <t>Clean and consistent</t>
  </si>
  <si>
    <t>Final manual polish after review</t>
  </si>
  <si>
    <t>Release state</t>
  </si>
  <si>
    <t>Begin user acceptance review</t>
  </si>
  <si>
    <t>WMS AI Genius</t>
  </si>
  <si>
    <t>The Excel AI assistant for Blue Yonder WMS reporting, SQL and workshops.</t>
  </si>
  <si>
    <t>Start here: type a WMS reporting or SQL request, then review the matched response.</t>
  </si>
  <si>
    <t>Step</t>
  </si>
  <si>
    <t>Where</t>
  </si>
  <si>
    <t>What WMS AI Genius returns</t>
  </si>
  <si>
    <t>Type your question</t>
  </si>
  <si>
    <t>ASK_AI!B5</t>
  </si>
  <si>
    <t>Intent, confidence, SQL, explanation, validation</t>
  </si>
  <si>
    <t>2</t>
  </si>
  <si>
    <t>Review response</t>
  </si>
  <si>
    <t>ASK_AI</t>
  </si>
  <si>
    <t>Plain-English business meaning and warnings</t>
  </si>
  <si>
    <t>3</t>
  </si>
  <si>
    <t>Open SQL output</t>
  </si>
  <si>
    <t>SQL_OUTPUT</t>
  </si>
  <si>
    <t>Copy-ready SQL for LexEdit / ChatWMS</t>
  </si>
  <si>
    <t>4</t>
  </si>
  <si>
    <t>Refine prompt</t>
  </si>
  <si>
    <t>Try suggested wording if confidence is low</t>
  </si>
  <si>
    <t>outbound orders | waiting to load | find pallet | blocked pick | replenishment | receiving over 2 hours</t>
  </si>
  <si>
    <t>v7.0 Alpha Build 02</t>
  </si>
  <si>
    <t>Natural Language Engine</t>
  </si>
  <si>
    <t>Bite-size feature build</t>
  </si>
  <si>
    <t>AI Intent Database</t>
  </si>
  <si>
    <t>Natural-language phrases mapped to WMS report / SQL intents.</t>
  </si>
  <si>
    <t>Intent_ID</t>
  </si>
  <si>
    <t>Phrase_1</t>
  </si>
  <si>
    <t>Phrase_2</t>
  </si>
  <si>
    <t>Phrase_3</t>
  </si>
  <si>
    <t>Phrase_4</t>
  </si>
  <si>
    <t>Intent_Name</t>
  </si>
  <si>
    <t>SQL_Template</t>
  </si>
  <si>
    <t>Next_Action</t>
  </si>
  <si>
    <t>OUT-001</t>
  </si>
  <si>
    <t>show outbound</t>
  </si>
  <si>
    <t>dispatch orders</t>
  </si>
  <si>
    <t>shipping orders</t>
  </si>
  <si>
    <t>Outbound Orders</t>
  </si>
  <si>
    <t>Outbound</t>
  </si>
  <si>
    <t>[select top 200 sl.ordnum, sl.ship_id, sh.shpsts, sl.linsts, sh.carcod, sh.wh_id from shipment_line sl with(nolock) join shipment sh with(nolock) on sh.wh_id = sl.wh_id and sh.ship_id = sl.ship_id where sh.wh_id like '%' order by sl.ordnum]</t>
  </si>
  <si>
    <t>Shows outbound order lines linked to shipments. Useful for reporting open outbound activity.</t>
  </si>
  <si>
    <t>WH_ID uses wildcard like '%'. Refine the warehouse filter before running in production.</t>
  </si>
  <si>
    <t>Copy SQL to LexEdit / ChatWMS and add site filters.</t>
  </si>
  <si>
    <t>OUT-002</t>
  </si>
  <si>
    <t>ready to load</t>
  </si>
  <si>
    <t>shipping today</t>
  </si>
  <si>
    <t>load orders</t>
  </si>
  <si>
    <t>Outbound Waiting To Load</t>
  </si>
  <si>
    <t>[select top 200 sh.wh_id, sh.ship_id, sh.carcod, sh.shpsts from shipment sh with(nolock) where sh.wh_id like '%' order by sh.ship_id]</t>
  </si>
  <si>
    <t>Lists shipments for load/status review. Add exact status filters for your site.</t>
  </si>
  <si>
    <t>WH_ID uses wildcard like '%'. Validate shpsts values through DSCMST before using operationally.</t>
  </si>
  <si>
    <t>Add carrier, door, staging or status filters.</t>
  </si>
  <si>
    <t>INV-001</t>
  </si>
  <si>
    <t>where is pallet</t>
  </si>
  <si>
    <t>locate lpn</t>
  </si>
  <si>
    <t>find lpn</t>
  </si>
  <si>
    <t>Find Pallet / LPN</t>
  </si>
  <si>
    <t>[select inv.wh_id, inv.lodnum, inv.subnum, inv.dtlnum, inv.prtnum, inv.stoloc, inv.invsts, inv.untqty from inventory_view inv with(nolock) where inv.wh_id like '%' and inv.lodnum = '&lt;LPN&gt;']</t>
  </si>
  <si>
    <t>Finds the current inventory location and status for a pallet/LPN.</t>
  </si>
  <si>
    <t>WH_ID uses wildcard like '%'. Replace &lt;LPN&gt;. Use subnum for case-level lookup where needed.</t>
  </si>
  <si>
    <t>Ask the user for pallet/LPN if missing.</t>
  </si>
  <si>
    <t>PCK-001</t>
  </si>
  <si>
    <t>why can't i pick</t>
  </si>
  <si>
    <t>pick issue</t>
  </si>
  <si>
    <t>open picks</t>
  </si>
  <si>
    <t>Blocked Pick Investigation</t>
  </si>
  <si>
    <t>Picking</t>
  </si>
  <si>
    <t>[select top 200 pw.wh_id, pw.wrkref, pw.schbat, pw.ordnum, pw.srcloc, pw.dstloc, pw.pcksts, pw.oprcod from pckwrk_view pw with(nolock) where pw.wh_id like '%' and pw.pcksts not in ('C') order by pw.wrkref]</t>
  </si>
  <si>
    <t>Investigates open or blocked pick work by work reference, wave, order and source location.</t>
  </si>
  <si>
    <t>WH_ID uses wildcard like '%'. Confirm site pick status values and operation codes before final use.</t>
  </si>
  <si>
    <t>Filter by order, wave, zone or location.</t>
  </si>
  <si>
    <t>RPL-001</t>
  </si>
  <si>
    <t>replen work</t>
  </si>
  <si>
    <t>replenishment blocking picks</t>
  </si>
  <si>
    <t>open replenishments</t>
  </si>
  <si>
    <t>Replenishment Work</t>
  </si>
  <si>
    <t>Replenishment</t>
  </si>
  <si>
    <t>[select top 200 pw.wh_id, pw.wrkref, pw.oprcod, pw.srcloc, pw.dstloc, pw.pcksts, pw.prtnum from pckwrk_view pw with(nolock) where pw.wh_id like '%' and pw.oprcod like '%RPL%' order by pw.wrkref]</t>
  </si>
  <si>
    <t>Returns replenishment-style work. Useful for checking replenishments blocking pick faces.</t>
  </si>
  <si>
    <t>WH_ID uses wildcard like '%'. Validate oprcod values against configured work operations.</t>
  </si>
  <si>
    <t>Prioritise by source/destination, wave or pick face.</t>
  </si>
  <si>
    <t>INB-001</t>
  </si>
  <si>
    <t>inbound staging</t>
  </si>
  <si>
    <t>stuck in receiving</t>
  </si>
  <si>
    <t>receiving dwell</t>
  </si>
  <si>
    <t>Inbound Staging Dwell</t>
  </si>
  <si>
    <t>Inbound</t>
  </si>
  <si>
    <t>[select inv.wh_id, inv.lodnum, inv.stoloc, inv.prtnum, inv.untqty from inventory_view inv with(nolock) where inv.wh_id like '%' and inv.stoloc like 'INB%' order by inv.stoloc, inv.lodnum]</t>
  </si>
  <si>
    <t>Finds inventory in inbound-style locations. Time-based dwell needs the correct date column for the site.</t>
  </si>
  <si>
    <t>WH_ID uses wildcard like '%'. Confirm inbound staging naming and receipt/create timestamp before production use.</t>
  </si>
  <si>
    <t>Add age column once confirmed.</t>
  </si>
  <si>
    <t>LOC-001</t>
  </si>
  <si>
    <t>available locations</t>
  </si>
  <si>
    <t>free locations</t>
  </si>
  <si>
    <t>empty pick faces</t>
  </si>
  <si>
    <t>Empty Locations</t>
  </si>
  <si>
    <t>Locations</t>
  </si>
  <si>
    <t>90%</t>
  </si>
  <si>
    <t>[select l.wh_id, l.stoloc, l.arecod, l.locsts from locmst l with(nolock) where l.wh_id like '%' and not exists (select 1 from inventory_view inv with(nolock) where inv.wh_id = l.wh_id and inv.stoloc = l.stoloc) order by l.stoloc]</t>
  </si>
  <si>
    <t>Uses NOT EXISTS to find locations with no inventory.</t>
  </si>
  <si>
    <t>WH_ID uses wildcard like '%'. Filter by status, area, zone or location type before operational use.</t>
  </si>
  <si>
    <t>Add loc_typ / area constraints.</t>
  </si>
  <si>
    <t>CNT-001</t>
  </si>
  <si>
    <t>count report</t>
  </si>
  <si>
    <t>inventory count</t>
  </si>
  <si>
    <t>stock count</t>
  </si>
  <si>
    <t>Cycle Count Report</t>
  </si>
  <si>
    <t>89%</t>
  </si>
  <si>
    <t>[select top 200 * from cnthst with(nolock) where wh_id like '%' order by cntdte desc]</t>
  </si>
  <si>
    <t>Starting point for count history reporting. Confirm exact count history table/columns in your environment.</t>
  </si>
  <si>
    <t>WH_ID uses wildcard like '%'. Validate count table and date column from WMS schema before use.</t>
  </si>
  <si>
    <t>Use WMS tables file to refine the final SQL.</t>
  </si>
  <si>
    <t>AI Match Engine v2</t>
  </si>
  <si>
    <t>Formula engine using phrase groups and weighted scoring.</t>
  </si>
  <si>
    <t>Value</t>
  </si>
  <si>
    <t>DB Row</t>
  </si>
  <si>
    <t>Phrase Match Score</t>
  </si>
  <si>
    <t>Base Confidence</t>
  </si>
  <si>
    <t>Weighted</t>
  </si>
  <si>
    <t>Best Score</t>
  </si>
  <si>
    <t>Matched Intent</t>
  </si>
  <si>
    <t>Best Helper Row</t>
  </si>
  <si>
    <t>Best DB Row</t>
  </si>
  <si>
    <t>Generated SQL</t>
  </si>
  <si>
    <t>Copy SQL from here into LexEdit / ChatWMS after reviewing validation notes.</t>
  </si>
  <si>
    <t>Review before running</t>
  </si>
  <si>
    <t>All SQL is wrapped in square brackets for MOCA / Beacon style.</t>
  </si>
  <si>
    <t>Warehouse filter defaults to wildcard: wh_id like '%'. Narrow this before production use.</t>
  </si>
  <si>
    <t>Replace placeholder values like &lt;LPN&gt;.</t>
  </si>
  <si>
    <t>Validate statuses, operation codes and date columns for your site.</t>
  </si>
  <si>
    <t>5</t>
  </si>
  <si>
    <t>Run in lower environment first where possible.</t>
  </si>
  <si>
    <t>Natural Language Engine delivered as a small testable chunk.</t>
  </si>
  <si>
    <t>Feature</t>
  </si>
  <si>
    <t>Can test now?</t>
  </si>
  <si>
    <t>Branding</t>
  </si>
  <si>
    <t>Done</t>
  </si>
  <si>
    <t>Open WMS_AI_HOME</t>
  </si>
  <si>
    <t>Polish logo/layout</t>
  </si>
  <si>
    <t>Ask AI screen</t>
  </si>
  <si>
    <t>Type prompt in ASK_AI!B5</t>
  </si>
  <si>
    <t>Conversation memory</t>
  </si>
  <si>
    <t>Intent DB v2</t>
  </si>
  <si>
    <t>Use phrase groups</t>
  </si>
  <si>
    <t>Add more intents</t>
  </si>
  <si>
    <t>Formula match engine</t>
  </si>
  <si>
    <t>Check AI_MATCH_ENGINE</t>
  </si>
  <si>
    <t>Improve scoring</t>
  </si>
  <si>
    <t>SQL output</t>
  </si>
  <si>
    <t>Open SQL_OUTPUT</t>
  </si>
  <si>
    <t>Add copy instructions</t>
  </si>
  <si>
    <t>Formula scan</t>
  </si>
  <si>
    <t>No formula error text found</t>
  </si>
  <si>
    <t>Repeat every build</t>
  </si>
  <si>
    <t>Roadmap estimate</t>
  </si>
  <si>
    <t>Build 03 context engine</t>
  </si>
  <si>
    <t>Build 03 Update</t>
  </si>
  <si>
    <t>ASK_AI first tab</t>
  </si>
  <si>
    <t>Applied after export</t>
  </si>
  <si>
    <t>Open workbook</t>
  </si>
  <si>
    <t>Sheet order patched in final file</t>
  </si>
  <si>
    <t>MOCA / Beacon SQL</t>
  </si>
  <si>
    <t>ASK_AI / SQL_OUTPUT</t>
  </si>
  <si>
    <t>SQL wrapped in square brackets</t>
  </si>
  <si>
    <t>AI_INTENT_DB column J</t>
  </si>
  <si>
    <t>wh_id like '%'</t>
  </si>
  <si>
    <t>Workbook</t>
  </si>
  <si>
    <t>9–12</t>
  </si>
  <si>
    <t>Next: context engine</t>
  </si>
  <si>
    <t>WMS AI Genius SQL Standards</t>
  </si>
  <si>
    <t>Standard</t>
  </si>
  <si>
    <t>Reason</t>
  </si>
  <si>
    <t>MOCA / Beacon wrapper</t>
  </si>
  <si>
    <t>Every SQL block starts with [ and ends with ]</t>
  </si>
  <si>
    <t>Blue Yonder WMS execution style</t>
  </si>
  <si>
    <t>Warehouse filter</t>
  </si>
  <si>
    <t>Default to wh_id like '%'</t>
  </si>
  <si>
    <t>Wildcard across warehouses unless narrowed</t>
  </si>
  <si>
    <t>SQL dialect</t>
  </si>
  <si>
    <t>SQL Server / T-SQL</t>
  </si>
  <si>
    <t>User environment standard</t>
  </si>
  <si>
    <t>Joins</t>
  </si>
  <si>
    <t>Explicit JOIN syntax</t>
  </si>
  <si>
    <t>Cleaner and safer report SQL</t>
  </si>
  <si>
    <t>Schema</t>
  </si>
  <si>
    <t>Use approved Blue Yonder WMS tables/columns</t>
  </si>
  <si>
    <t>Avoid invented objects</t>
  </si>
  <si>
    <t>Production use</t>
  </si>
  <si>
    <t>Validate statuses/codes per site</t>
  </si>
  <si>
    <t>Prevents operational misreporting</t>
  </si>
  <si>
    <t>Blocked 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</si>
</sst>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name val="Carlito"/>
    </font>
    <font>
      <b/>
      <sz val="18"/>
      <name val="Carlito"/>
    </font>
    <font>
      <b/>
      <sz val="20"/>
      <color rgb="FFFFFFFF"/>
      <name val="Carlito"/>
    </font>
    <font>
      <b/>
      <sz val="11"/>
      <color rgb="FF111827"/>
      <name val="Carlito"/>
    </font>
    <font>
      <b/>
      <sz val="14"/>
      <color rgb="FF111827"/>
      <name val="Carlito"/>
    </font>
    <font>
      <sz val="11"/>
      <color rgb="FF111827"/>
      <name val="Carlito"/>
    </font>
    <font>
      <b/>
      <sz val="13"/>
      <color rgb="FF17365D"/>
      <name val="Carlito"/>
    </font>
    <font>
      <i/>
      <sz val="11"/>
      <color rgb="FF374151"/>
      <name val="Carlito"/>
    </font>
    <font>
      <b/>
      <sz val="12"/>
      <color rgb="FFFFFFFF"/>
      <name val="Carlito"/>
    </font>
    <font>
      <b/>
      <sz val="12"/>
      <name val="Carlito"/>
    </font>
    <font>
      <b/>
      <sz val="11"/>
      <color rgb="FF12355B"/>
      <name val="Carlito"/>
    </font>
    <font>
      <sz val="10"/>
      <name val="Consolas"/>
    </font>
  </fonts>
  <fills count="3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F8FAFC"/>
      </patternFill>
    </fill>
    <fill>
      <patternFill patternType="solid">
        <fgColor rgb="FFEEF6FF"/>
      </patternFill>
    </fill>
    <fill>
      <patternFill patternType="solid">
        <fgColor rgb="FF0F766E"/>
      </patternFill>
    </fill>
    <fill>
      <patternFill patternType="solid">
        <fgColor rgb="FF12355B"/>
      </patternFill>
    </fill>
    <fill>
      <patternFill patternType="solid">
        <fgColor rgb="FFEAF1F8"/>
      </patternFill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FFF7ED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2355B"/>
      </patternFill>
    </fill>
    <fill>
      <patternFill patternType="solid">
        <fgColor rgb="FF17365D"/>
      </patternFill>
    </fill>
    <fill>
      <patternFill patternType="solid">
        <fgColor rgb="FFF8FAFC"/>
      </patternFill>
    </fill>
    <fill>
      <patternFill patternType="solid">
        <fgColor rgb="FFEAF1F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1">
    <xf numFmtId="0" fontId="0" fillId="0" borderId="0" xfId="0" applyBorder="1"/>
    <xf numFmtId="0" fontId="1" fillId="4" borderId="0" xfId="0" applyFont="1" applyFill="1" applyBorder="1" applyAlignment="1">
      <alignment horizontal="center"/>
    </xf>
    <xf numFmtId="0" fontId="2" fillId="5" borderId="0" xfId="0" applyFont="1" applyFill="1" applyBorder="1"/>
    <xf numFmtId="0" fontId="1" fillId="6" borderId="0" xfId="0" applyFont="1" applyFill="1" applyBorder="1" applyAlignment="1">
      <alignment horizontal="center"/>
    </xf>
    <xf numFmtId="0" fontId="2" fillId="7" borderId="0" xfId="0" applyFont="1" applyFill="1" applyBorder="1"/>
    <xf numFmtId="0" fontId="1" fillId="8" borderId="0" xfId="0" applyFont="1" applyFill="1" applyBorder="1" applyAlignment="1">
      <alignment horizontal="center"/>
    </xf>
    <xf numFmtId="0" fontId="2" fillId="9" borderId="0" xfId="0" applyFont="1" applyFill="1" applyBorder="1"/>
    <xf numFmtId="0" fontId="1" fillId="10" borderId="0" xfId="0" applyFont="1" applyFill="1" applyBorder="1" applyAlignment="1">
      <alignment horizontal="center"/>
    </xf>
    <xf numFmtId="0" fontId="2" fillId="11" borderId="0" xfId="0" applyFont="1" applyFill="1" applyBorder="1"/>
    <xf numFmtId="0" fontId="1" fillId="12" borderId="0" xfId="0" applyFont="1" applyFill="1" applyBorder="1" applyAlignment="1">
      <alignment horizontal="center" vertical="center" wrapText="1"/>
    </xf>
    <xf numFmtId="0" fontId="2" fillId="13" borderId="0" xfId="0" applyFont="1" applyFill="1" applyBorder="1" applyAlignment="1">
      <alignment horizontal="center" wrapText="1"/>
    </xf>
    <xf numFmtId="0" fontId="5" fillId="15" borderId="0" xfId="0" applyFont="1" applyFill="1" applyBorder="1"/>
    <xf numFmtId="0" fontId="1" fillId="16" borderId="0" xfId="0" applyFont="1" applyFill="1" applyBorder="1" applyAlignment="1">
      <alignment horizontal="center" wrapText="1"/>
    </xf>
    <xf numFmtId="0" fontId="2" fillId="17" borderId="0" xfId="0" applyFont="1" applyFill="1" applyBorder="1" applyAlignment="1">
      <alignment horizontal="center" wrapText="1"/>
    </xf>
    <xf numFmtId="0" fontId="0" fillId="0" borderId="0" xfId="0" applyBorder="1" applyAlignment="1">
      <alignment wrapText="1"/>
    </xf>
    <xf numFmtId="0" fontId="1" fillId="18" borderId="0" xfId="0" applyFont="1" applyFill="1" applyBorder="1" applyAlignment="1">
      <alignment horizontal="center" wrapText="1"/>
    </xf>
    <xf numFmtId="0" fontId="2" fillId="19" borderId="0" xfId="0" applyFont="1" applyFill="1" applyBorder="1" applyAlignment="1">
      <alignment horizontal="center" wrapText="1"/>
    </xf>
    <xf numFmtId="0" fontId="1" fillId="20" borderId="0" xfId="0" applyFont="1" applyFill="1" applyBorder="1" applyAlignment="1">
      <alignment horizontal="center" wrapText="1"/>
    </xf>
    <xf numFmtId="0" fontId="2" fillId="21" borderId="0" xfId="0" applyFont="1" applyFill="1" applyBorder="1" applyAlignment="1">
      <alignment horizontal="center" wrapText="1"/>
    </xf>
    <xf numFmtId="0" fontId="6" fillId="22" borderId="0" xfId="0" applyFont="1" applyFill="1" applyBorder="1" applyAlignment="1">
      <alignment horizontal="center" vertical="center" wrapText="1"/>
    </xf>
    <xf numFmtId="0" fontId="7" fillId="23" borderId="0" xfId="0" applyFont="1" applyFill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9" fillId="24" borderId="0" xfId="0" applyFont="1" applyFill="1" applyBorder="1" applyAlignment="1">
      <alignment horizontal="left" vertical="center" wrapText="1"/>
    </xf>
    <xf numFmtId="0" fontId="10" fillId="24" borderId="0" xfId="0" applyFont="1" applyFill="1" applyBorder="1" applyAlignment="1">
      <alignment horizontal="left" vertical="center" wrapText="1"/>
    </xf>
    <xf numFmtId="0" fontId="7" fillId="25" borderId="0" xfId="0" applyFont="1" applyFill="1" applyBorder="1" applyAlignment="1">
      <alignment wrapText="1"/>
    </xf>
    <xf numFmtId="0" fontId="11" fillId="0" borderId="0" xfId="0" applyFont="1" applyBorder="1" applyAlignment="1">
      <alignment wrapText="1"/>
    </xf>
    <xf numFmtId="0" fontId="2" fillId="26" borderId="0" xfId="0" applyFont="1" applyFill="1" applyBorder="1" applyAlignment="1">
      <alignment horizontal="center" wrapText="1"/>
    </xf>
    <xf numFmtId="0" fontId="6" fillId="27" borderId="0" xfId="0" applyFont="1" applyFill="1" applyBorder="1" applyAlignment="1">
      <alignment horizontal="center" vertical="center" wrapText="1"/>
    </xf>
    <xf numFmtId="0" fontId="7" fillId="28" borderId="0" xfId="0" applyFont="1" applyFill="1" applyBorder="1" applyAlignment="1">
      <alignment horizontal="center" vertical="center" wrapText="1"/>
    </xf>
    <xf numFmtId="0" fontId="12" fillId="29" borderId="0" xfId="0" applyFont="1" applyFill="1" applyBorder="1" applyAlignment="1">
      <alignment wrapText="1"/>
    </xf>
    <xf numFmtId="0" fontId="2" fillId="30" borderId="0" xfId="0" applyFont="1" applyFill="1" applyBorder="1"/>
    <xf numFmtId="0" fontId="2" fillId="30" borderId="0" xfId="0" applyFont="1" applyFill="1" applyBorder="1" applyAlignment="1">
      <alignment wrapText="1"/>
    </xf>
    <xf numFmtId="0" fontId="2" fillId="29" borderId="0" xfId="0" applyFont="1" applyFill="1" applyBorder="1"/>
    <xf numFmtId="0" fontId="2" fillId="29" borderId="0" xfId="0" applyFont="1" applyFill="1" applyBorder="1" applyAlignment="1">
      <alignment wrapText="1"/>
    </xf>
    <xf numFmtId="0" fontId="13" fillId="31" borderId="0" xfId="0" applyFont="1" applyFill="1" applyBorder="1" applyAlignment="1">
      <alignment wrapText="1"/>
    </xf>
    <xf numFmtId="0" fontId="0" fillId="32" borderId="0" xfId="0" applyFill="1" applyBorder="1" applyAlignment="1">
      <alignment wrapText="1"/>
    </xf>
    <xf numFmtId="0" fontId="15" fillId="32" borderId="0" xfId="0" applyFont="1" applyFill="1" applyBorder="1" applyAlignment="1">
      <alignment wrapText="1"/>
    </xf>
    <xf numFmtId="0" fontId="0" fillId="0" borderId="0" xfId="0" applyBorder="1"/>
    <xf numFmtId="0" fontId="1" fillId="2" borderId="0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wrapText="1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5" fillId="14" borderId="0" xfId="0" applyFont="1" applyFill="1" applyBorder="1"/>
    <xf numFmtId="0" fontId="2" fillId="33" borderId="0" xfId="0" applyFont="1" applyFill="1" applyBorder="1"/>
    <xf numFmtId="0" fontId="1" fillId="34" borderId="0" xfId="0" applyFont="1" applyFill="1" applyBorder="1" applyAlignment="1">
      <alignment horizontal="center" wrapText="1"/>
    </xf>
    <xf numFmtId="0" fontId="2" fillId="33" borderId="0" xfId="0" applyFont="1" applyFill="1" applyBorder="1" applyAlignment="1">
      <alignment wrapText="1"/>
    </xf>
    <xf numFmtId="0" fontId="2" fillId="35" borderId="0" xfId="0" applyFont="1" applyFill="1" applyBorder="1"/>
    <xf numFmtId="0" fontId="0" fillId="36" borderId="0" xfId="0" applyFill="1" applyBorder="1" applyAlignment="1">
      <alignment wrapText="1"/>
    </xf>
    <xf numFmtId="0" fontId="14" fillId="37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B5" sqref="B5"/>
    </sheetView>
  </sheetViews>
  <sheetFormatPr defaultRowHeight="15" x14ac:dyDescent="0.2"/>
  <cols>
    <col min="1" max="1" width="22.05859375" style="38" customWidth="1"/>
    <col min="2" max="2" width="39.953125" style="38" customWidth="1"/>
    <col min="3" max="10" width="22.05859375" style="38" customWidth="1"/>
  </cols>
  <sheetData>
    <row r="1" spans="1:10" ht="33.950000000000003" customHeight="1" x14ac:dyDescent="0.3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6.1" customHeight="1" x14ac:dyDescent="0.2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</row>
    <row r="4" spans="1:10" x14ac:dyDescent="0.2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</row>
    <row r="5" spans="1:10" x14ac:dyDescent="0.2">
      <c r="A5" t="s">
        <v>3</v>
      </c>
      <c r="B5" s="35" t="s">
        <v>1580</v>
      </c>
      <c r="C5" s="35"/>
      <c r="D5" s="35"/>
      <c r="E5" s="35"/>
      <c r="F5" s="35"/>
      <c r="G5" s="35"/>
      <c r="H5" s="35"/>
      <c r="I5" s="35"/>
      <c r="J5" s="35"/>
    </row>
    <row r="7" spans="1:10" x14ac:dyDescent="0.2">
      <c r="A7" s="31" t="s">
        <v>5</v>
      </c>
      <c r="B7" s="31"/>
      <c r="C7" s="31"/>
      <c r="D7" s="31"/>
      <c r="E7" s="31"/>
      <c r="F7" s="31"/>
      <c r="G7" s="31"/>
      <c r="H7" s="31"/>
      <c r="I7" s="31"/>
      <c r="J7" s="31"/>
    </row>
    <row r="9" spans="1:10" x14ac:dyDescent="0.2">
      <c r="A9" s="50" t="s">
        <v>6</v>
      </c>
      <c r="B9" s="36" t="str">
        <f>IFERROR(AI_MATCH_ENGINE!B5,"No match")</f>
        <v>Blocked Pick Investigation</v>
      </c>
      <c r="C9" s="36"/>
      <c r="D9" s="36"/>
      <c r="E9" s="36"/>
      <c r="F9" s="36"/>
      <c r="G9" s="36"/>
      <c r="H9" s="36"/>
      <c r="I9" s="36"/>
      <c r="J9" s="36"/>
    </row>
    <row r="10" spans="1:10" x14ac:dyDescent="0.2">
      <c r="A10" s="50" t="s">
        <v>7</v>
      </c>
      <c r="B10" s="36" t="str">
        <f>IFERROR(AI_MATCH_ENGINE!B6,"0%")</f>
        <v>95%</v>
      </c>
      <c r="C10" s="36"/>
      <c r="D10" s="36"/>
      <c r="E10" s="36"/>
      <c r="F10" s="36"/>
      <c r="G10" s="36"/>
      <c r="H10" s="36"/>
      <c r="I10" s="36"/>
      <c r="J10" s="36"/>
    </row>
    <row r="11" spans="1:10" x14ac:dyDescent="0.2">
      <c r="A11" s="50" t="s">
        <v>8</v>
      </c>
      <c r="B11" s="36" t="str">
        <f>IFERROR(AI_MATCH_ENGINE!B7,"")</f>
        <v>Supervisor</v>
      </c>
      <c r="C11" s="36"/>
      <c r="D11" s="36"/>
      <c r="E11" s="36"/>
      <c r="F11" s="36"/>
      <c r="G11" s="36"/>
      <c r="H11" s="36"/>
      <c r="I11" s="36"/>
      <c r="J11" s="36"/>
    </row>
    <row r="12" spans="1:10" x14ac:dyDescent="0.2">
      <c r="A12" s="50" t="s">
        <v>9</v>
      </c>
      <c r="B12" s="36" t="str">
        <f>IFERROR(AI_MATCH_ENGINE!B8,"")</f>
        <v>Picking</v>
      </c>
      <c r="C12" s="36"/>
      <c r="D12" s="36"/>
      <c r="E12" s="36"/>
      <c r="F12" s="36"/>
      <c r="G12" s="36"/>
      <c r="H12" s="36"/>
      <c r="I12" s="36"/>
      <c r="J12" s="36"/>
    </row>
    <row r="13" spans="1:10" x14ac:dyDescent="0.2">
      <c r="A13" s="50" t="s">
        <v>10</v>
      </c>
      <c r="B13" s="36" t="str">
        <f>IFERROR(AI_MATCH_ENGINE!B9,"")</f>
        <v>Investigates open or blocked pick work by work reference, wave, order and source location.</v>
      </c>
      <c r="C13" s="36"/>
      <c r="D13" s="36"/>
      <c r="E13" s="36"/>
      <c r="F13" s="36"/>
      <c r="G13" s="36"/>
      <c r="H13" s="36"/>
      <c r="I13" s="36"/>
      <c r="J13" s="36"/>
    </row>
    <row r="14" spans="1:10" x14ac:dyDescent="0.2">
      <c r="A14" s="50" t="s">
        <v>11</v>
      </c>
      <c r="B14" s="36" t="str">
        <f>IFERROR(AI_MATCH_ENGINE!B10,"")</f>
        <v>WH_ID uses wildcard like '%'. Confirm site pick status values and operation codes before final use.</v>
      </c>
      <c r="C14" s="36"/>
      <c r="D14" s="36"/>
      <c r="E14" s="36"/>
      <c r="F14" s="36"/>
      <c r="G14" s="36"/>
      <c r="H14" s="36"/>
      <c r="I14" s="36"/>
      <c r="J14" s="36"/>
    </row>
    <row r="15" spans="1:10" x14ac:dyDescent="0.2">
      <c r="A15" s="50" t="s">
        <v>12</v>
      </c>
      <c r="B15" s="36" t="str">
        <f>IFERROR(AI_MATCH_ENGINE!B11,"")</f>
        <v>Filter by order, wave, zone or location.</v>
      </c>
      <c r="C15" s="36"/>
      <c r="D15" s="36"/>
      <c r="E15" s="36"/>
      <c r="F15" s="36"/>
      <c r="G15" s="36"/>
      <c r="H15" s="36"/>
      <c r="I15" s="36"/>
      <c r="J15" s="36"/>
    </row>
    <row r="16" spans="1:10" x14ac:dyDescent="0.2">
      <c r="A16" s="50" t="s">
        <v>13</v>
      </c>
      <c r="B16" s="36" t="str">
        <f>IFERROR(AI_MATCH_ENGINE!B12,"")</f>
        <v>[select top 200 pw.wh_id, pw.wrkref, pw.schbat, pw.ordnum, pw.srcloc, pw.dstloc, pw.pcksts, pw.oprcod from pckwrk_view pw with(nolock) where pw.wh_id like '%' and pw.pcksts not in ('C') order by pw.wrkref]</v>
      </c>
      <c r="C16" s="36"/>
      <c r="D16" s="36"/>
      <c r="E16" s="36"/>
      <c r="F16" s="36"/>
      <c r="G16" s="36"/>
      <c r="H16" s="36"/>
      <c r="I16" s="36"/>
      <c r="J16" s="36"/>
    </row>
    <row r="18" spans="1:10" x14ac:dyDescent="0.2">
      <c r="A18" s="33" t="s">
        <v>14</v>
      </c>
      <c r="B18" s="33"/>
      <c r="C18" s="33"/>
      <c r="D18" s="33"/>
      <c r="E18" s="33"/>
      <c r="F18" s="33"/>
      <c r="G18" s="33"/>
      <c r="H18" s="33"/>
      <c r="I18" s="33"/>
      <c r="J18" s="33"/>
    </row>
    <row r="19" spans="1:10" x14ac:dyDescent="0.2">
      <c r="A19" t="s">
        <v>4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</row>
    <row r="20" spans="1:10" x14ac:dyDescent="0.2">
      <c r="A20" t="s">
        <v>22</v>
      </c>
      <c r="B20" t="s">
        <v>23</v>
      </c>
    </row>
    <row r="21" spans="1:10" x14ac:dyDescent="0.2">
      <c r="A21" t="s">
        <v>24</v>
      </c>
      <c r="B21" t="s">
        <v>25</v>
      </c>
      <c r="D21" t="s">
        <v>26</v>
      </c>
      <c r="E21" t="s">
        <v>27</v>
      </c>
    </row>
    <row r="23" spans="1:10" x14ac:dyDescent="0.2">
      <c r="A23" s="48" t="s">
        <v>28</v>
      </c>
      <c r="B23" s="48"/>
      <c r="C23" s="48"/>
      <c r="D23" s="48"/>
      <c r="E23" s="48"/>
      <c r="F23" s="48"/>
      <c r="G23" s="48"/>
      <c r="H23" s="48"/>
      <c r="I23" s="48"/>
      <c r="J23" s="48"/>
    </row>
    <row r="24" spans="1:10" x14ac:dyDescent="0.2">
      <c r="A24" s="49" t="s">
        <v>29</v>
      </c>
      <c r="B24" s="49" t="s">
        <v>30</v>
      </c>
      <c r="C24" s="49"/>
      <c r="D24" s="49"/>
      <c r="E24" s="49"/>
      <c r="F24" s="49"/>
      <c r="G24" s="49"/>
      <c r="H24" s="49"/>
      <c r="I24" s="49"/>
      <c r="J24" s="49"/>
    </row>
    <row r="25" spans="1:10" ht="27.75" x14ac:dyDescent="0.2">
      <c r="A25" s="49" t="s">
        <v>31</v>
      </c>
      <c r="B25" s="49" t="s">
        <v>32</v>
      </c>
      <c r="C25" s="49"/>
      <c r="D25" s="49"/>
      <c r="E25" s="49"/>
      <c r="F25" s="49"/>
      <c r="G25" s="49"/>
      <c r="H25" s="49"/>
      <c r="I25" s="49"/>
      <c r="J25" s="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/>
  </sheetViews>
  <sheetFormatPr defaultRowHeight="15" x14ac:dyDescent="0.2"/>
  <cols>
    <col min="1" max="8" width="20.04296875" style="38" customWidth="1"/>
  </cols>
  <sheetData>
    <row r="1" spans="1:8" ht="33.950000000000003" customHeight="1" x14ac:dyDescent="0.2">
      <c r="A1" s="19" t="s">
        <v>33</v>
      </c>
      <c r="B1" s="19"/>
      <c r="C1" s="19"/>
      <c r="D1" s="19"/>
      <c r="E1" s="19"/>
      <c r="F1" s="19"/>
      <c r="G1" s="19"/>
      <c r="H1" s="19"/>
    </row>
    <row r="2" spans="1:8" ht="27.95" customHeight="1" x14ac:dyDescent="0.2">
      <c r="A2" s="20" t="s">
        <v>34</v>
      </c>
      <c r="B2" s="20"/>
      <c r="C2" s="20"/>
      <c r="D2" s="20"/>
      <c r="E2" s="20"/>
      <c r="F2" s="20"/>
      <c r="G2" s="20"/>
      <c r="H2" s="20"/>
    </row>
    <row r="3" spans="1:8" x14ac:dyDescent="0.2">
      <c r="A3" s="40" t="s">
        <v>35</v>
      </c>
      <c r="B3" s="40" t="s">
        <v>36</v>
      </c>
      <c r="C3" s="40" t="s">
        <v>37</v>
      </c>
      <c r="D3" s="40" t="s">
        <v>38</v>
      </c>
      <c r="E3" s="40" t="s">
        <v>39</v>
      </c>
      <c r="F3" s="40" t="s">
        <v>40</v>
      </c>
    </row>
    <row r="4" spans="1:8" ht="35.25" customHeight="1" x14ac:dyDescent="0.25">
      <c r="A4" s="21" t="s">
        <v>41</v>
      </c>
      <c r="B4" s="21"/>
      <c r="C4" s="21"/>
      <c r="D4" s="21"/>
      <c r="E4" s="21"/>
      <c r="F4" s="21"/>
      <c r="G4" s="22"/>
      <c r="H4" s="22"/>
    </row>
    <row r="5" spans="1:8" ht="27.75" customHeight="1" x14ac:dyDescent="0.2">
      <c r="A5" s="14" t="s">
        <v>42</v>
      </c>
      <c r="B5" s="14" t="s">
        <v>43</v>
      </c>
      <c r="C5" s="14" t="s">
        <v>44</v>
      </c>
      <c r="D5" s="14" t="s">
        <v>45</v>
      </c>
      <c r="E5" s="14" t="s">
        <v>46</v>
      </c>
      <c r="F5" s="14" t="s">
        <v>47</v>
      </c>
    </row>
    <row r="6" spans="1:8" ht="18" customHeight="1" x14ac:dyDescent="0.25">
      <c r="A6" s="24" t="s">
        <v>48</v>
      </c>
      <c r="B6" s="23"/>
      <c r="C6" s="23"/>
      <c r="D6" s="24" t="s">
        <v>49</v>
      </c>
      <c r="E6" s="23"/>
      <c r="F6" s="23"/>
    </row>
    <row r="7" spans="1:8" ht="41.25" customHeight="1" x14ac:dyDescent="0.2">
      <c r="A7" s="23" t="s">
        <v>50</v>
      </c>
      <c r="B7" s="23" t="s">
        <v>51</v>
      </c>
      <c r="C7" s="23"/>
      <c r="D7" s="23" t="s">
        <v>52</v>
      </c>
      <c r="E7" s="23"/>
      <c r="F7" s="23"/>
    </row>
    <row r="8" spans="1:8" x14ac:dyDescent="0.2">
      <c r="A8" s="23" t="s">
        <v>53</v>
      </c>
      <c r="B8" s="23"/>
      <c r="C8" s="23"/>
      <c r="D8" s="23" t="s">
        <v>54</v>
      </c>
      <c r="E8" s="23"/>
      <c r="F8" s="23"/>
    </row>
    <row r="9" spans="1:8" ht="27.75" customHeight="1" x14ac:dyDescent="0.2">
      <c r="A9" s="14" t="s">
        <v>55</v>
      </c>
      <c r="B9" s="14" t="s">
        <v>56</v>
      </c>
      <c r="C9" s="14" t="s">
        <v>57</v>
      </c>
      <c r="D9" s="14" t="s">
        <v>58</v>
      </c>
      <c r="E9" s="14" t="s">
        <v>59</v>
      </c>
      <c r="F9" s="14" t="s">
        <v>60</v>
      </c>
    </row>
    <row r="10" spans="1:8" ht="33.75" customHeight="1" x14ac:dyDescent="0.25">
      <c r="A10" s="24" t="s">
        <v>61</v>
      </c>
      <c r="B10" s="23"/>
      <c r="C10" s="23"/>
      <c r="D10" s="24" t="s">
        <v>62</v>
      </c>
      <c r="E10" s="23"/>
      <c r="F10" s="23"/>
    </row>
    <row r="11" spans="1:8" ht="41.25" customHeight="1" x14ac:dyDescent="0.2">
      <c r="A11" s="23" t="s">
        <v>63</v>
      </c>
      <c r="B11" s="23"/>
      <c r="C11" s="23"/>
      <c r="D11" s="23" t="s">
        <v>64</v>
      </c>
      <c r="E11" s="23"/>
      <c r="F11" s="23"/>
    </row>
    <row r="12" spans="1:8" x14ac:dyDescent="0.2">
      <c r="A12" s="23" t="s">
        <v>65</v>
      </c>
      <c r="B12" s="23"/>
      <c r="C12" s="23"/>
      <c r="D12" s="23" t="s">
        <v>66</v>
      </c>
      <c r="E12" s="23"/>
      <c r="F12" s="23"/>
    </row>
    <row r="13" spans="1:8" ht="27.75" customHeight="1" x14ac:dyDescent="0.2">
      <c r="A13" s="14" t="s">
        <v>67</v>
      </c>
      <c r="B13" s="14" t="s">
        <v>68</v>
      </c>
      <c r="C13" s="14"/>
      <c r="D13" s="14"/>
      <c r="E13" s="14"/>
      <c r="F13" s="14"/>
    </row>
    <row r="14" spans="1:8" ht="18" customHeight="1" x14ac:dyDescent="0.25">
      <c r="A14" s="24" t="s">
        <v>69</v>
      </c>
      <c r="B14" s="23"/>
      <c r="C14" s="23"/>
      <c r="D14" s="24" t="s">
        <v>70</v>
      </c>
      <c r="E14" s="23"/>
      <c r="F14" s="23"/>
    </row>
    <row r="15" spans="1:8" ht="27.75" customHeight="1" x14ac:dyDescent="0.2">
      <c r="A15" s="23" t="s">
        <v>71</v>
      </c>
      <c r="B15" s="23"/>
      <c r="C15" s="23"/>
      <c r="D15" s="23" t="s">
        <v>72</v>
      </c>
      <c r="E15" s="23"/>
      <c r="F15" s="23"/>
    </row>
    <row r="16" spans="1:8" x14ac:dyDescent="0.2">
      <c r="A16" s="23" t="s">
        <v>73</v>
      </c>
      <c r="B16" s="23"/>
      <c r="C16" s="23"/>
      <c r="D16" s="23" t="s">
        <v>74</v>
      </c>
      <c r="E16" s="23"/>
      <c r="F16" s="23"/>
    </row>
    <row r="17" spans="1:8" x14ac:dyDescent="0.2">
      <c r="A17" s="14"/>
      <c r="B17" s="14"/>
      <c r="C17" s="14"/>
      <c r="D17" s="14"/>
      <c r="E17" s="14"/>
      <c r="F17" s="14"/>
    </row>
    <row r="18" spans="1:8" x14ac:dyDescent="0.2">
      <c r="A18" s="25" t="s">
        <v>75</v>
      </c>
      <c r="B18" s="25" t="s">
        <v>76</v>
      </c>
      <c r="C18" s="25"/>
      <c r="D18" s="25" t="s">
        <v>77</v>
      </c>
      <c r="E18" s="25" t="s">
        <v>78</v>
      </c>
      <c r="F18" s="25"/>
      <c r="G18" s="25" t="s">
        <v>79</v>
      </c>
      <c r="H18" s="25" t="s">
        <v>80</v>
      </c>
    </row>
    <row r="19" spans="1:8" x14ac:dyDescent="0.2">
      <c r="A19" s="25" t="s">
        <v>81</v>
      </c>
      <c r="B19" s="25" t="s">
        <v>82</v>
      </c>
      <c r="C19" s="25"/>
      <c r="D19" s="25" t="s">
        <v>83</v>
      </c>
      <c r="E19" s="25" t="s">
        <v>84</v>
      </c>
      <c r="F19" s="25"/>
      <c r="G19" s="25" t="s">
        <v>85</v>
      </c>
      <c r="H19" s="25" t="s">
        <v>86</v>
      </c>
    </row>
    <row r="20" spans="1:8" x14ac:dyDescent="0.2">
      <c r="A20" s="25" t="s">
        <v>87</v>
      </c>
      <c r="B20" s="25" t="s">
        <v>88</v>
      </c>
      <c r="C20" s="25"/>
      <c r="D20" s="25" t="s">
        <v>38</v>
      </c>
      <c r="E20" s="25" t="s">
        <v>89</v>
      </c>
      <c r="F20" s="25"/>
      <c r="G20" s="25" t="s">
        <v>39</v>
      </c>
      <c r="H20" s="25" t="s">
        <v>90</v>
      </c>
    </row>
    <row r="22" spans="1:8" ht="41.25" customHeight="1" x14ac:dyDescent="0.2">
      <c r="A22" s="26" t="s">
        <v>91</v>
      </c>
      <c r="B22" s="26"/>
      <c r="C22" s="26"/>
      <c r="D22" s="26"/>
      <c r="E22" s="26"/>
      <c r="F22" s="26"/>
      <c r="G22" s="26"/>
      <c r="H22" s="26"/>
    </row>
    <row r="23" spans="1:8" x14ac:dyDescent="0.2">
      <c r="A23" t="s">
        <v>92</v>
      </c>
      <c r="B23" t="s">
        <v>93</v>
      </c>
    </row>
    <row r="24" spans="1:8" x14ac:dyDescent="0.2">
      <c r="A24" t="s">
        <v>94</v>
      </c>
      <c r="B24" t="s">
        <v>95</v>
      </c>
    </row>
    <row r="25" spans="1:8" x14ac:dyDescent="0.2">
      <c r="A25" t="s">
        <v>96</v>
      </c>
      <c r="B25" t="s">
        <v>97</v>
      </c>
    </row>
    <row r="26" spans="1:8" x14ac:dyDescent="0.2">
      <c r="A26" t="s">
        <v>98</v>
      </c>
      <c r="B26" t="s">
        <v>99</v>
      </c>
    </row>
    <row r="28" spans="1:8" x14ac:dyDescent="0.2">
      <c r="A28" t="s">
        <v>100</v>
      </c>
      <c r="B28" t="s">
        <v>101</v>
      </c>
    </row>
    <row r="29" spans="1:8" x14ac:dyDescent="0.2">
      <c r="A29" t="s">
        <v>94</v>
      </c>
      <c r="B29" t="s">
        <v>102</v>
      </c>
    </row>
    <row r="30" spans="1:8" x14ac:dyDescent="0.2">
      <c r="A30" t="s">
        <v>103</v>
      </c>
      <c r="B30" t="s">
        <v>104</v>
      </c>
    </row>
    <row r="31" spans="1:8" x14ac:dyDescent="0.2">
      <c r="A31" t="s">
        <v>105</v>
      </c>
      <c r="B31" t="s">
        <v>106</v>
      </c>
    </row>
    <row r="33" spans="1:2" x14ac:dyDescent="0.2">
      <c r="A33" s="41" t="s">
        <v>107</v>
      </c>
      <c r="B33" t="s">
        <v>108</v>
      </c>
    </row>
    <row r="34" spans="1:2" x14ac:dyDescent="0.2">
      <c r="A34" s="41" t="s">
        <v>94</v>
      </c>
      <c r="B34" t="s">
        <v>109</v>
      </c>
    </row>
    <row r="35" spans="1:2" x14ac:dyDescent="0.2">
      <c r="A35" s="41" t="s">
        <v>110</v>
      </c>
      <c r="B35" t="s">
        <v>111</v>
      </c>
    </row>
    <row r="36" spans="1:2" x14ac:dyDescent="0.2">
      <c r="A36" s="41" t="s">
        <v>112</v>
      </c>
      <c r="B36" t="s">
        <v>113</v>
      </c>
    </row>
    <row r="38" spans="1:2" x14ac:dyDescent="0.2">
      <c r="A38" s="41" t="s">
        <v>114</v>
      </c>
      <c r="B38" t="s">
        <v>115</v>
      </c>
    </row>
    <row r="39" spans="1:2" x14ac:dyDescent="0.2">
      <c r="A39" s="41" t="s">
        <v>94</v>
      </c>
      <c r="B39" t="s">
        <v>116</v>
      </c>
    </row>
    <row r="40" spans="1:2" x14ac:dyDescent="0.2">
      <c r="A40" s="41" t="s">
        <v>110</v>
      </c>
      <c r="B40" t="s">
        <v>117</v>
      </c>
    </row>
    <row r="41" spans="1:2" x14ac:dyDescent="0.2">
      <c r="A41" s="41" t="s">
        <v>112</v>
      </c>
      <c r="B41" t="s">
        <v>113</v>
      </c>
    </row>
    <row r="43" spans="1:2" x14ac:dyDescent="0.2">
      <c r="A43" s="41" t="s">
        <v>118</v>
      </c>
      <c r="B43" t="s">
        <v>119</v>
      </c>
    </row>
    <row r="44" spans="1:2" x14ac:dyDescent="0.2">
      <c r="A44" s="41" t="s">
        <v>94</v>
      </c>
      <c r="B44" t="s">
        <v>120</v>
      </c>
    </row>
    <row r="45" spans="1:2" x14ac:dyDescent="0.2">
      <c r="A45" s="41" t="s">
        <v>110</v>
      </c>
      <c r="B45" t="s">
        <v>121</v>
      </c>
    </row>
    <row r="46" spans="1:2" x14ac:dyDescent="0.2">
      <c r="A46" s="41" t="s">
        <v>112</v>
      </c>
      <c r="B46" t="s">
        <v>122</v>
      </c>
    </row>
    <row r="48" spans="1:2" x14ac:dyDescent="0.2">
      <c r="A48" t="s">
        <v>123</v>
      </c>
      <c r="B48" t="s">
        <v>124</v>
      </c>
    </row>
    <row r="49" spans="1:2" x14ac:dyDescent="0.2">
      <c r="A49" t="s">
        <v>94</v>
      </c>
      <c r="B49" t="s">
        <v>125</v>
      </c>
    </row>
    <row r="50" spans="1:2" x14ac:dyDescent="0.2">
      <c r="A50" t="s">
        <v>96</v>
      </c>
      <c r="B50" t="s">
        <v>126</v>
      </c>
    </row>
    <row r="51" spans="1:2" x14ac:dyDescent="0.2">
      <c r="A51" t="s">
        <v>98</v>
      </c>
      <c r="B51" t="s">
        <v>127</v>
      </c>
    </row>
    <row r="53" spans="1:2" x14ac:dyDescent="0.2">
      <c r="A53" t="s">
        <v>128</v>
      </c>
      <c r="B53" t="s">
        <v>129</v>
      </c>
    </row>
    <row r="54" spans="1:2" x14ac:dyDescent="0.2">
      <c r="A54" t="s">
        <v>94</v>
      </c>
      <c r="B54" t="s">
        <v>130</v>
      </c>
    </row>
    <row r="55" spans="1:2" x14ac:dyDescent="0.2">
      <c r="A55" t="s">
        <v>96</v>
      </c>
      <c r="B55" t="s">
        <v>131</v>
      </c>
    </row>
    <row r="56" spans="1:2" x14ac:dyDescent="0.2">
      <c r="A56" t="s">
        <v>98</v>
      </c>
      <c r="B56" t="s">
        <v>132</v>
      </c>
    </row>
    <row r="58" spans="1:2" x14ac:dyDescent="0.2">
      <c r="A58" s="41" t="s">
        <v>133</v>
      </c>
      <c r="B58" t="s">
        <v>134</v>
      </c>
    </row>
    <row r="59" spans="1:2" x14ac:dyDescent="0.2">
      <c r="A59" s="41" t="s">
        <v>135</v>
      </c>
      <c r="B59" t="s">
        <v>136</v>
      </c>
    </row>
    <row r="60" spans="1:2" x14ac:dyDescent="0.2">
      <c r="A60" s="41" t="s">
        <v>39</v>
      </c>
      <c r="B60" t="s">
        <v>137</v>
      </c>
    </row>
    <row r="61" spans="1:2" x14ac:dyDescent="0.2">
      <c r="A61" s="41" t="s">
        <v>112</v>
      </c>
      <c r="B61" t="s">
        <v>138</v>
      </c>
    </row>
    <row r="63" spans="1:2" x14ac:dyDescent="0.2">
      <c r="A63" s="41" t="s">
        <v>139</v>
      </c>
      <c r="B6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/>
  </sheetViews>
  <sheetFormatPr defaultRowHeight="15" x14ac:dyDescent="0.2"/>
  <cols>
    <col min="1" max="6" width="23.9453125" style="38" customWidth="1"/>
  </cols>
  <sheetData>
    <row r="1" spans="1:6" ht="39.75" customHeight="1" x14ac:dyDescent="0.3">
      <c r="A1" s="39" t="s">
        <v>141</v>
      </c>
      <c r="B1" s="39"/>
      <c r="C1" s="39"/>
      <c r="D1" s="39"/>
      <c r="E1" s="39"/>
      <c r="F1" s="39"/>
    </row>
    <row r="2" spans="1:6" x14ac:dyDescent="0.2">
      <c r="A2" s="14"/>
      <c r="B2" s="14"/>
      <c r="C2" s="14"/>
      <c r="D2" s="14"/>
      <c r="E2" s="14"/>
      <c r="F2" s="14"/>
    </row>
    <row r="3" spans="1:6" x14ac:dyDescent="0.2">
      <c r="A3" s="40" t="s">
        <v>142</v>
      </c>
      <c r="B3" s="40" t="s">
        <v>143</v>
      </c>
      <c r="C3" s="40" t="s">
        <v>144</v>
      </c>
      <c r="D3" s="40" t="s">
        <v>145</v>
      </c>
      <c r="E3" s="40" t="s">
        <v>146</v>
      </c>
      <c r="F3" s="14"/>
    </row>
    <row r="4" spans="1:6" ht="27.75" customHeight="1" x14ac:dyDescent="0.2">
      <c r="A4" s="14" t="s">
        <v>147</v>
      </c>
      <c r="B4" s="14" t="s">
        <v>148</v>
      </c>
      <c r="C4" s="14" t="s">
        <v>149</v>
      </c>
      <c r="D4" s="14" t="s">
        <v>150</v>
      </c>
      <c r="E4" s="14" t="s">
        <v>151</v>
      </c>
      <c r="F4" s="14"/>
    </row>
    <row r="5" spans="1:6" x14ac:dyDescent="0.2">
      <c r="A5" s="14" t="s">
        <v>152</v>
      </c>
      <c r="B5" s="14" t="s">
        <v>153</v>
      </c>
      <c r="C5" s="14" t="s">
        <v>154</v>
      </c>
      <c r="D5" s="14" t="s">
        <v>155</v>
      </c>
      <c r="E5" s="14" t="s">
        <v>151</v>
      </c>
      <c r="F5" s="14"/>
    </row>
    <row r="6" spans="1:6" x14ac:dyDescent="0.2">
      <c r="A6" s="14" t="s">
        <v>156</v>
      </c>
      <c r="B6" s="14" t="s">
        <v>157</v>
      </c>
      <c r="C6" s="14" t="s">
        <v>158</v>
      </c>
      <c r="D6" s="14" t="s">
        <v>159</v>
      </c>
      <c r="E6" s="14" t="s">
        <v>151</v>
      </c>
      <c r="F6" s="14"/>
    </row>
    <row r="7" spans="1:6" ht="27.75" customHeight="1" x14ac:dyDescent="0.2">
      <c r="A7" s="14" t="s">
        <v>112</v>
      </c>
      <c r="B7" s="14" t="s">
        <v>160</v>
      </c>
      <c r="C7" s="14" t="s">
        <v>161</v>
      </c>
      <c r="D7" s="14" t="s">
        <v>162</v>
      </c>
      <c r="E7" s="14" t="s">
        <v>163</v>
      </c>
      <c r="F7" s="14"/>
    </row>
    <row r="8" spans="1:6" x14ac:dyDescent="0.2">
      <c r="A8" s="14" t="s">
        <v>164</v>
      </c>
      <c r="B8" s="14" t="s">
        <v>165</v>
      </c>
      <c r="C8" s="14" t="s">
        <v>166</v>
      </c>
      <c r="D8" s="14" t="s">
        <v>167</v>
      </c>
      <c r="E8" s="14" t="s">
        <v>151</v>
      </c>
      <c r="F8" s="14"/>
    </row>
    <row r="9" spans="1:6" x14ac:dyDescent="0.2">
      <c r="A9" s="14" t="s">
        <v>168</v>
      </c>
      <c r="B9" s="14" t="s">
        <v>169</v>
      </c>
      <c r="C9" s="14" t="s">
        <v>170</v>
      </c>
      <c r="D9" s="14" t="s">
        <v>171</v>
      </c>
      <c r="E9" s="14" t="s">
        <v>151</v>
      </c>
      <c r="F9" s="14"/>
    </row>
    <row r="10" spans="1:6" x14ac:dyDescent="0.2">
      <c r="A10" s="14"/>
      <c r="B10" s="14"/>
      <c r="C10" s="14"/>
      <c r="D10" s="14"/>
      <c r="E10" s="14"/>
      <c r="F10" s="14"/>
    </row>
    <row r="11" spans="1:6" x14ac:dyDescent="0.2">
      <c r="A11" s="14"/>
      <c r="B11" s="14"/>
      <c r="C11" s="14"/>
      <c r="D11" s="14"/>
      <c r="E11" s="14"/>
      <c r="F11" s="14"/>
    </row>
    <row r="12" spans="1:6" x14ac:dyDescent="0.2">
      <c r="A12" s="14"/>
      <c r="B12" s="14"/>
      <c r="C12" s="14"/>
      <c r="D12" s="14"/>
      <c r="E12" s="14"/>
      <c r="F12" s="14"/>
    </row>
    <row r="13" spans="1:6" x14ac:dyDescent="0.2">
      <c r="A13" s="14"/>
      <c r="B13" s="14"/>
      <c r="C13" s="14"/>
      <c r="D13" s="14"/>
      <c r="E13" s="14"/>
      <c r="F13" s="14"/>
    </row>
    <row r="14" spans="1:6" x14ac:dyDescent="0.2">
      <c r="A14" s="14"/>
      <c r="B14" s="14"/>
      <c r="C14" s="14"/>
      <c r="D14" s="14"/>
      <c r="E14" s="14"/>
      <c r="F14" s="14"/>
    </row>
    <row r="15" spans="1:6" x14ac:dyDescent="0.2">
      <c r="A15" s="14"/>
      <c r="B15" s="14"/>
      <c r="C15" s="14"/>
      <c r="D15" s="14"/>
      <c r="E15" s="14"/>
      <c r="F15" s="14"/>
    </row>
    <row r="16" spans="1:6" x14ac:dyDescent="0.2">
      <c r="A16" s="14"/>
      <c r="B16" s="14"/>
      <c r="C16" s="14"/>
      <c r="D16" s="14"/>
      <c r="E16" s="14"/>
      <c r="F16" s="14"/>
    </row>
    <row r="17" spans="1:6" x14ac:dyDescent="0.2">
      <c r="A17" s="14"/>
      <c r="B17" s="14"/>
      <c r="C17" s="14"/>
      <c r="D17" s="14"/>
      <c r="E17" s="14"/>
      <c r="F17" s="14"/>
    </row>
    <row r="18" spans="1:6" x14ac:dyDescent="0.2">
      <c r="A18" s="14"/>
      <c r="B18" s="14"/>
      <c r="C18" s="14"/>
      <c r="D18" s="14"/>
      <c r="E18" s="14"/>
      <c r="F18" s="14"/>
    </row>
    <row r="19" spans="1:6" x14ac:dyDescent="0.2">
      <c r="A19" s="14"/>
      <c r="B19" s="14"/>
      <c r="C19" s="14"/>
      <c r="D19" s="14"/>
      <c r="E19" s="14"/>
      <c r="F19" s="14"/>
    </row>
    <row r="20" spans="1:6" x14ac:dyDescent="0.2">
      <c r="A20" s="14"/>
      <c r="B20" s="14"/>
      <c r="C20" s="14"/>
      <c r="D20" s="14"/>
      <c r="E20" s="14"/>
      <c r="F20" s="14"/>
    </row>
    <row r="22" spans="1:6" x14ac:dyDescent="0.2">
      <c r="A22" s="41" t="s">
        <v>139</v>
      </c>
      <c r="B22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defaultRowHeight="15" x14ac:dyDescent="0.2"/>
  <cols>
    <col min="1" max="6" width="23.9453125" style="38" customWidth="1"/>
  </cols>
  <sheetData>
    <row r="1" spans="1:6" ht="39.75" customHeight="1" x14ac:dyDescent="0.3">
      <c r="A1" s="39" t="s">
        <v>172</v>
      </c>
      <c r="B1" s="39"/>
      <c r="C1" s="39"/>
      <c r="D1" s="39"/>
      <c r="E1" s="39"/>
      <c r="F1" s="39"/>
    </row>
    <row r="2" spans="1:6" x14ac:dyDescent="0.2">
      <c r="A2" s="14"/>
      <c r="B2" s="14"/>
      <c r="C2" s="14"/>
      <c r="D2" s="14"/>
      <c r="E2" s="14"/>
      <c r="F2" s="14"/>
    </row>
    <row r="3" spans="1:6" x14ac:dyDescent="0.2">
      <c r="A3" s="40" t="s">
        <v>173</v>
      </c>
      <c r="B3" s="40" t="s">
        <v>36</v>
      </c>
      <c r="C3" s="40" t="s">
        <v>174</v>
      </c>
      <c r="D3" s="40" t="s">
        <v>175</v>
      </c>
      <c r="E3" s="40" t="s">
        <v>39</v>
      </c>
      <c r="F3" s="40" t="s">
        <v>40</v>
      </c>
    </row>
    <row r="4" spans="1:6" x14ac:dyDescent="0.2">
      <c r="A4" s="14" t="s">
        <v>176</v>
      </c>
      <c r="B4" s="14" t="s">
        <v>177</v>
      </c>
      <c r="C4" s="14" t="s">
        <v>178</v>
      </c>
      <c r="D4" s="14" t="s">
        <v>179</v>
      </c>
      <c r="E4" s="14" t="s">
        <v>180</v>
      </c>
      <c r="F4" s="14" t="s">
        <v>181</v>
      </c>
    </row>
    <row r="5" spans="1:6" ht="27.75" customHeight="1" x14ac:dyDescent="0.2">
      <c r="A5" s="14" t="s">
        <v>182</v>
      </c>
      <c r="B5" s="14" t="s">
        <v>183</v>
      </c>
      <c r="C5" s="14" t="s">
        <v>184</v>
      </c>
      <c r="D5" s="14" t="s">
        <v>185</v>
      </c>
      <c r="E5" s="14" t="s">
        <v>186</v>
      </c>
      <c r="F5" s="14" t="s">
        <v>187</v>
      </c>
    </row>
    <row r="6" spans="1:6" ht="27.75" customHeight="1" x14ac:dyDescent="0.2">
      <c r="A6" s="14" t="s">
        <v>188</v>
      </c>
      <c r="B6" s="14" t="s">
        <v>189</v>
      </c>
      <c r="C6" s="14" t="s">
        <v>190</v>
      </c>
      <c r="D6" s="14" t="s">
        <v>191</v>
      </c>
      <c r="E6" s="14" t="s">
        <v>186</v>
      </c>
      <c r="F6" s="14" t="s">
        <v>192</v>
      </c>
    </row>
    <row r="7" spans="1:6" ht="27.75" customHeight="1" x14ac:dyDescent="0.2">
      <c r="A7" s="14" t="s">
        <v>193</v>
      </c>
      <c r="B7" s="14" t="s">
        <v>194</v>
      </c>
      <c r="C7" s="14" t="s">
        <v>195</v>
      </c>
      <c r="D7" s="14" t="s">
        <v>196</v>
      </c>
      <c r="E7" s="14" t="s">
        <v>186</v>
      </c>
      <c r="F7" s="14" t="s">
        <v>197</v>
      </c>
    </row>
    <row r="8" spans="1:6" ht="27.75" customHeight="1" x14ac:dyDescent="0.2">
      <c r="A8" s="14" t="s">
        <v>198</v>
      </c>
      <c r="B8" s="14" t="s">
        <v>199</v>
      </c>
      <c r="C8" s="14" t="s">
        <v>200</v>
      </c>
      <c r="D8" s="14" t="s">
        <v>179</v>
      </c>
      <c r="E8" s="14" t="s">
        <v>201</v>
      </c>
      <c r="F8" s="14" t="s">
        <v>202</v>
      </c>
    </row>
    <row r="9" spans="1:6" x14ac:dyDescent="0.2">
      <c r="A9" s="14" t="s">
        <v>203</v>
      </c>
      <c r="B9" s="14" t="s">
        <v>204</v>
      </c>
      <c r="C9" s="14" t="s">
        <v>205</v>
      </c>
      <c r="D9" s="14" t="s">
        <v>206</v>
      </c>
      <c r="E9" s="14" t="s">
        <v>207</v>
      </c>
      <c r="F9" s="14" t="s">
        <v>208</v>
      </c>
    </row>
    <row r="10" spans="1:6" ht="27.75" customHeight="1" x14ac:dyDescent="0.2">
      <c r="A10" s="14" t="s">
        <v>209</v>
      </c>
      <c r="B10" s="14" t="s">
        <v>210</v>
      </c>
      <c r="C10" s="14" t="s">
        <v>211</v>
      </c>
      <c r="D10" s="14" t="s">
        <v>179</v>
      </c>
      <c r="E10" s="14" t="s">
        <v>207</v>
      </c>
      <c r="F10" s="14" t="s">
        <v>212</v>
      </c>
    </row>
    <row r="11" spans="1:6" x14ac:dyDescent="0.2">
      <c r="A11" s="14"/>
      <c r="B11" s="14"/>
      <c r="C11" s="14"/>
      <c r="D11" s="14"/>
      <c r="E11" s="14"/>
      <c r="F11" s="14"/>
    </row>
    <row r="12" spans="1:6" ht="41.25" customHeight="1" x14ac:dyDescent="0.2">
      <c r="A12" s="14" t="s">
        <v>213</v>
      </c>
      <c r="B12" s="14" t="s">
        <v>214</v>
      </c>
      <c r="C12" s="14" t="s">
        <v>215</v>
      </c>
      <c r="D12" s="14" t="s">
        <v>179</v>
      </c>
      <c r="E12" s="14" t="s">
        <v>180</v>
      </c>
      <c r="F12" s="14" t="s">
        <v>216</v>
      </c>
    </row>
    <row r="13" spans="1:6" ht="41.25" customHeight="1" x14ac:dyDescent="0.2">
      <c r="A13" s="14" t="s">
        <v>217</v>
      </c>
      <c r="B13" s="14" t="s">
        <v>218</v>
      </c>
      <c r="C13" s="14" t="s">
        <v>219</v>
      </c>
      <c r="D13" s="14" t="s">
        <v>206</v>
      </c>
      <c r="E13" s="14" t="s">
        <v>207</v>
      </c>
      <c r="F13" s="14" t="s">
        <v>220</v>
      </c>
    </row>
    <row r="14" spans="1:6" x14ac:dyDescent="0.2">
      <c r="A14" s="14"/>
      <c r="B14" s="14"/>
      <c r="C14" s="14"/>
      <c r="D14" s="14"/>
      <c r="E14" s="14"/>
      <c r="F14" s="14"/>
    </row>
    <row r="15" spans="1:6" ht="41.25" customHeight="1" x14ac:dyDescent="0.2">
      <c r="A15" s="14" t="s">
        <v>221</v>
      </c>
      <c r="B15" s="14" t="s">
        <v>222</v>
      </c>
      <c r="C15" s="14" t="s">
        <v>223</v>
      </c>
      <c r="D15" s="14" t="s">
        <v>179</v>
      </c>
      <c r="E15" s="14" t="s">
        <v>180</v>
      </c>
      <c r="F15" s="14" t="s">
        <v>224</v>
      </c>
    </row>
    <row r="16" spans="1:6" x14ac:dyDescent="0.2">
      <c r="A16" s="14"/>
      <c r="B16" s="14"/>
      <c r="C16" s="14"/>
      <c r="D16" s="14"/>
      <c r="E16" s="14"/>
      <c r="F16" s="14"/>
    </row>
    <row r="17" spans="1:6" x14ac:dyDescent="0.2">
      <c r="A17" s="14"/>
      <c r="B17" s="14"/>
      <c r="C17" s="14"/>
      <c r="D17" s="14"/>
      <c r="E17" s="14"/>
      <c r="F17" s="14"/>
    </row>
    <row r="18" spans="1:6" x14ac:dyDescent="0.2">
      <c r="A18" s="14"/>
      <c r="B18" s="14"/>
      <c r="C18" s="14"/>
      <c r="D18" s="14"/>
      <c r="E18" s="14"/>
      <c r="F18" s="14"/>
    </row>
    <row r="19" spans="1:6" x14ac:dyDescent="0.2">
      <c r="A19" s="14"/>
      <c r="B19" s="14"/>
      <c r="C19" s="14"/>
      <c r="D19" s="14"/>
      <c r="E19" s="14"/>
      <c r="F19" s="14"/>
    </row>
    <row r="20" spans="1:6" x14ac:dyDescent="0.2">
      <c r="A20" s="14"/>
      <c r="B20" s="14"/>
      <c r="C20" s="14"/>
      <c r="D20" s="14"/>
      <c r="E20" s="14"/>
      <c r="F2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/>
  </sheetViews>
  <sheetFormatPr defaultRowHeight="15" x14ac:dyDescent="0.2"/>
  <cols>
    <col min="1" max="6" width="23.9453125" style="38" customWidth="1"/>
  </cols>
  <sheetData>
    <row r="1" spans="1:6" ht="59.25" customHeight="1" x14ac:dyDescent="0.3">
      <c r="A1" s="39" t="s">
        <v>225</v>
      </c>
      <c r="B1" s="39"/>
      <c r="C1" s="39"/>
      <c r="D1" s="39"/>
      <c r="E1" s="39"/>
      <c r="F1" s="39"/>
    </row>
    <row r="2" spans="1:6" x14ac:dyDescent="0.2">
      <c r="A2" s="14"/>
      <c r="B2" s="14"/>
      <c r="C2" s="14"/>
      <c r="D2" s="14"/>
      <c r="E2" s="14"/>
      <c r="F2" s="14"/>
    </row>
    <row r="3" spans="1:6" x14ac:dyDescent="0.2">
      <c r="A3" s="40" t="s">
        <v>8</v>
      </c>
      <c r="B3" s="40" t="s">
        <v>226</v>
      </c>
      <c r="C3" s="40" t="s">
        <v>227</v>
      </c>
      <c r="D3" s="40" t="s">
        <v>39</v>
      </c>
      <c r="E3" s="40" t="s">
        <v>228</v>
      </c>
      <c r="F3" s="40" t="s">
        <v>40</v>
      </c>
    </row>
    <row r="4" spans="1:6" x14ac:dyDescent="0.2">
      <c r="A4" s="14" t="s">
        <v>229</v>
      </c>
      <c r="B4" s="14" t="s">
        <v>230</v>
      </c>
      <c r="C4" s="14" t="s">
        <v>231</v>
      </c>
      <c r="D4" s="14" t="s">
        <v>232</v>
      </c>
      <c r="E4" s="14" t="s">
        <v>233</v>
      </c>
      <c r="F4" s="14" t="s">
        <v>234</v>
      </c>
    </row>
    <row r="5" spans="1:6" x14ac:dyDescent="0.2">
      <c r="A5" s="14" t="s">
        <v>235</v>
      </c>
      <c r="B5" s="14" t="s">
        <v>236</v>
      </c>
      <c r="C5" s="14" t="s">
        <v>237</v>
      </c>
      <c r="D5" s="14" t="s">
        <v>238</v>
      </c>
      <c r="E5" s="14" t="s">
        <v>239</v>
      </c>
      <c r="F5" s="14" t="s">
        <v>240</v>
      </c>
    </row>
    <row r="6" spans="1:6" x14ac:dyDescent="0.2">
      <c r="A6" s="14" t="s">
        <v>241</v>
      </c>
      <c r="B6" s="14" t="s">
        <v>236</v>
      </c>
      <c r="C6" s="14" t="s">
        <v>242</v>
      </c>
      <c r="D6" s="14" t="s">
        <v>238</v>
      </c>
      <c r="E6" s="14" t="s">
        <v>239</v>
      </c>
      <c r="F6" s="14" t="s">
        <v>243</v>
      </c>
    </row>
    <row r="7" spans="1:6" x14ac:dyDescent="0.2">
      <c r="A7" s="14" t="s">
        <v>65</v>
      </c>
      <c r="B7" s="14" t="s">
        <v>236</v>
      </c>
      <c r="C7" s="14" t="s">
        <v>244</v>
      </c>
      <c r="D7" s="14" t="s">
        <v>238</v>
      </c>
      <c r="E7" s="14" t="s">
        <v>245</v>
      </c>
      <c r="F7" s="14" t="s">
        <v>246</v>
      </c>
    </row>
    <row r="8" spans="1:6" x14ac:dyDescent="0.2">
      <c r="A8" s="14" t="s">
        <v>247</v>
      </c>
      <c r="B8" s="14" t="s">
        <v>236</v>
      </c>
      <c r="C8" s="14" t="s">
        <v>248</v>
      </c>
      <c r="D8" s="14" t="s">
        <v>238</v>
      </c>
      <c r="E8" s="14" t="s">
        <v>249</v>
      </c>
      <c r="F8" s="14" t="s">
        <v>250</v>
      </c>
    </row>
    <row r="9" spans="1:6" x14ac:dyDescent="0.2">
      <c r="A9" s="14" t="s">
        <v>251</v>
      </c>
      <c r="B9" s="14" t="s">
        <v>252</v>
      </c>
      <c r="C9" s="14" t="s">
        <v>253</v>
      </c>
      <c r="D9" s="14" t="s">
        <v>254</v>
      </c>
      <c r="E9" s="14" t="s">
        <v>255</v>
      </c>
      <c r="F9" s="14" t="s">
        <v>256</v>
      </c>
    </row>
    <row r="10" spans="1:6" x14ac:dyDescent="0.2">
      <c r="A10" s="14" t="s">
        <v>257</v>
      </c>
      <c r="B10" s="14" t="s">
        <v>252</v>
      </c>
      <c r="C10" s="14" t="s">
        <v>253</v>
      </c>
      <c r="D10" s="14" t="s">
        <v>254</v>
      </c>
      <c r="E10" s="14" t="s">
        <v>258</v>
      </c>
      <c r="F10" s="14" t="s">
        <v>256</v>
      </c>
    </row>
    <row r="11" spans="1:6" x14ac:dyDescent="0.2">
      <c r="A11" s="14"/>
      <c r="B11" s="14"/>
      <c r="C11" s="14"/>
      <c r="D11" s="14"/>
      <c r="E11" s="14"/>
      <c r="F11" s="14"/>
    </row>
    <row r="12" spans="1:6" x14ac:dyDescent="0.2">
      <c r="A12" s="14"/>
      <c r="B12" s="14"/>
      <c r="C12" s="14"/>
      <c r="D12" s="14"/>
      <c r="E12" s="14"/>
      <c r="F12" s="14"/>
    </row>
    <row r="13" spans="1:6" x14ac:dyDescent="0.2">
      <c r="A13" s="14"/>
      <c r="B13" s="14"/>
      <c r="C13" s="14"/>
      <c r="D13" s="14"/>
      <c r="E13" s="14"/>
      <c r="F13" s="14"/>
    </row>
    <row r="14" spans="1:6" x14ac:dyDescent="0.2">
      <c r="A14" s="14"/>
      <c r="B14" s="14"/>
      <c r="C14" s="14"/>
      <c r="D14" s="14"/>
      <c r="E14" s="14"/>
      <c r="F14" s="14"/>
    </row>
    <row r="15" spans="1:6" x14ac:dyDescent="0.2">
      <c r="A15" s="14"/>
      <c r="B15" s="14"/>
      <c r="C15" s="14"/>
      <c r="D15" s="14"/>
      <c r="E15" s="14"/>
      <c r="F15" s="14"/>
    </row>
    <row r="16" spans="1:6" x14ac:dyDescent="0.2">
      <c r="A16" s="14"/>
      <c r="B16" s="14"/>
      <c r="C16" s="14"/>
      <c r="D16" s="14"/>
      <c r="E16" s="14"/>
      <c r="F16" s="14"/>
    </row>
    <row r="17" spans="1:6" x14ac:dyDescent="0.2">
      <c r="A17" s="14"/>
      <c r="B17" s="14"/>
      <c r="C17" s="14"/>
      <c r="D17" s="14"/>
      <c r="E17" s="14"/>
      <c r="F17" s="14"/>
    </row>
    <row r="18" spans="1:6" x14ac:dyDescent="0.2">
      <c r="A18" s="14"/>
      <c r="B18" s="14"/>
      <c r="C18" s="14"/>
      <c r="D18" s="14"/>
      <c r="E18" s="14"/>
      <c r="F18" s="14"/>
    </row>
    <row r="19" spans="1:6" x14ac:dyDescent="0.2">
      <c r="A19" s="14"/>
      <c r="B19" s="14"/>
      <c r="C19" s="14"/>
      <c r="D19" s="14"/>
      <c r="E19" s="14"/>
      <c r="F19" s="14"/>
    </row>
    <row r="20" spans="1:6" x14ac:dyDescent="0.2">
      <c r="A20" s="14"/>
      <c r="B20" s="14"/>
      <c r="C20" s="14"/>
      <c r="D20" s="14"/>
      <c r="E20" s="14"/>
      <c r="F20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workbookViewId="0"/>
  </sheetViews>
  <sheetFormatPr defaultRowHeight="15" x14ac:dyDescent="0.2"/>
  <cols>
    <col min="1" max="6" width="23.9453125" style="38" customWidth="1"/>
  </cols>
  <sheetData>
    <row r="1" spans="1:6" ht="39.75" customHeight="1" x14ac:dyDescent="0.3">
      <c r="A1" s="39" t="s">
        <v>259</v>
      </c>
      <c r="B1" s="39"/>
      <c r="C1" s="39"/>
      <c r="D1" s="39"/>
      <c r="E1" s="39"/>
      <c r="F1" s="39"/>
    </row>
    <row r="2" spans="1:6" x14ac:dyDescent="0.2">
      <c r="A2" s="14"/>
      <c r="B2" s="14"/>
      <c r="C2" s="14"/>
      <c r="D2" s="14"/>
      <c r="E2" s="14"/>
      <c r="F2" s="14"/>
    </row>
    <row r="3" spans="1:6" x14ac:dyDescent="0.2">
      <c r="A3" s="40" t="s">
        <v>35</v>
      </c>
      <c r="B3" s="40" t="s">
        <v>39</v>
      </c>
      <c r="C3" s="40" t="s">
        <v>260</v>
      </c>
      <c r="D3" s="40" t="s">
        <v>261</v>
      </c>
      <c r="E3" s="40" t="s">
        <v>262</v>
      </c>
      <c r="F3" s="40" t="s">
        <v>228</v>
      </c>
    </row>
    <row r="4" spans="1:6" x14ac:dyDescent="0.2">
      <c r="A4" s="14" t="s">
        <v>263</v>
      </c>
      <c r="B4" s="14" t="s">
        <v>264</v>
      </c>
      <c r="C4" s="14" t="s">
        <v>265</v>
      </c>
      <c r="D4" s="14" t="s">
        <v>266</v>
      </c>
      <c r="E4" s="14" t="s">
        <v>267</v>
      </c>
      <c r="F4" s="14" t="s">
        <v>268</v>
      </c>
    </row>
    <row r="5" spans="1:6" x14ac:dyDescent="0.2">
      <c r="A5" s="14" t="s">
        <v>269</v>
      </c>
      <c r="B5" s="14" t="s">
        <v>59</v>
      </c>
      <c r="C5" s="14" t="s">
        <v>270</v>
      </c>
      <c r="D5" s="14" t="s">
        <v>271</v>
      </c>
      <c r="E5" s="14" t="s">
        <v>272</v>
      </c>
      <c r="F5" s="14" t="s">
        <v>273</v>
      </c>
    </row>
    <row r="6" spans="1:6" x14ac:dyDescent="0.2">
      <c r="A6" s="14" t="s">
        <v>274</v>
      </c>
      <c r="B6" s="14" t="s">
        <v>275</v>
      </c>
      <c r="C6" s="14" t="s">
        <v>276</v>
      </c>
      <c r="D6" s="14" t="s">
        <v>277</v>
      </c>
      <c r="E6" s="14" t="s">
        <v>272</v>
      </c>
      <c r="F6" s="14" t="s">
        <v>278</v>
      </c>
    </row>
    <row r="7" spans="1:6" ht="27.75" customHeight="1" x14ac:dyDescent="0.2">
      <c r="A7" s="14" t="s">
        <v>279</v>
      </c>
      <c r="B7" s="14" t="s">
        <v>280</v>
      </c>
      <c r="C7" s="14" t="s">
        <v>281</v>
      </c>
      <c r="D7" s="14" t="s">
        <v>282</v>
      </c>
      <c r="E7" s="14" t="s">
        <v>272</v>
      </c>
      <c r="F7" s="14" t="s">
        <v>283</v>
      </c>
    </row>
    <row r="8" spans="1:6" x14ac:dyDescent="0.2">
      <c r="A8" s="14" t="s">
        <v>284</v>
      </c>
      <c r="B8" s="14" t="s">
        <v>264</v>
      </c>
      <c r="C8" s="14" t="s">
        <v>285</v>
      </c>
      <c r="D8" s="14" t="s">
        <v>286</v>
      </c>
      <c r="E8" s="14" t="s">
        <v>267</v>
      </c>
      <c r="F8" s="14" t="s">
        <v>287</v>
      </c>
    </row>
    <row r="9" spans="1:6" x14ac:dyDescent="0.2">
      <c r="A9" s="14" t="s">
        <v>191</v>
      </c>
      <c r="B9" s="14" t="s">
        <v>59</v>
      </c>
      <c r="C9" s="14" t="s">
        <v>288</v>
      </c>
      <c r="D9" s="14" t="s">
        <v>289</v>
      </c>
      <c r="E9" s="14" t="s">
        <v>272</v>
      </c>
      <c r="F9" s="14" t="s">
        <v>290</v>
      </c>
    </row>
    <row r="10" spans="1:6" ht="27.75" customHeight="1" x14ac:dyDescent="0.2">
      <c r="A10" s="14" t="s">
        <v>291</v>
      </c>
      <c r="B10" s="14" t="s">
        <v>292</v>
      </c>
      <c r="C10" s="14" t="s">
        <v>293</v>
      </c>
      <c r="D10" s="14" t="s">
        <v>294</v>
      </c>
      <c r="E10" s="14" t="s">
        <v>267</v>
      </c>
      <c r="F10" s="14" t="s">
        <v>295</v>
      </c>
    </row>
    <row r="11" spans="1:6" x14ac:dyDescent="0.2">
      <c r="A11" s="14"/>
      <c r="B11" s="14"/>
      <c r="C11" s="14"/>
      <c r="D11" s="14"/>
      <c r="E11" s="14"/>
      <c r="F11" s="14"/>
    </row>
    <row r="12" spans="1:6" x14ac:dyDescent="0.2">
      <c r="A12" s="14" t="s">
        <v>296</v>
      </c>
      <c r="B12" s="14" t="s">
        <v>39</v>
      </c>
      <c r="C12" s="14" t="s">
        <v>260</v>
      </c>
      <c r="D12" s="14" t="s">
        <v>261</v>
      </c>
      <c r="E12" s="14" t="s">
        <v>262</v>
      </c>
      <c r="F12" s="14" t="s">
        <v>228</v>
      </c>
    </row>
    <row r="13" spans="1:6" ht="27.75" customHeight="1" x14ac:dyDescent="0.2">
      <c r="A13" s="14" t="s">
        <v>297</v>
      </c>
      <c r="B13" s="14" t="s">
        <v>180</v>
      </c>
      <c r="C13" s="14" t="s">
        <v>293</v>
      </c>
      <c r="D13" s="14" t="s">
        <v>298</v>
      </c>
      <c r="E13" s="14" t="s">
        <v>267</v>
      </c>
      <c r="F13" s="14" t="s">
        <v>299</v>
      </c>
    </row>
    <row r="14" spans="1:6" x14ac:dyDescent="0.2">
      <c r="A14" s="14" t="s">
        <v>300</v>
      </c>
      <c r="B14" s="14" t="s">
        <v>292</v>
      </c>
      <c r="C14" s="14" t="s">
        <v>301</v>
      </c>
      <c r="D14" s="14" t="s">
        <v>302</v>
      </c>
      <c r="E14" s="14" t="s">
        <v>267</v>
      </c>
      <c r="F14" s="14" t="s">
        <v>303</v>
      </c>
    </row>
    <row r="15" spans="1:6" ht="27.75" customHeight="1" x14ac:dyDescent="0.2">
      <c r="A15" s="14" t="s">
        <v>304</v>
      </c>
      <c r="B15" s="14" t="s">
        <v>305</v>
      </c>
      <c r="C15" s="14" t="s">
        <v>270</v>
      </c>
      <c r="D15" s="14" t="s">
        <v>306</v>
      </c>
      <c r="E15" s="14" t="s">
        <v>272</v>
      </c>
      <c r="F15" s="14" t="s">
        <v>307</v>
      </c>
    </row>
    <row r="16" spans="1:6" x14ac:dyDescent="0.2">
      <c r="A16" s="14"/>
      <c r="B16" s="14"/>
      <c r="C16" s="14"/>
      <c r="D16" s="14"/>
      <c r="E16" s="14"/>
      <c r="F16" s="14"/>
    </row>
    <row r="17" spans="1:6" x14ac:dyDescent="0.2">
      <c r="A17" s="14" t="s">
        <v>308</v>
      </c>
      <c r="B17" s="14" t="s">
        <v>39</v>
      </c>
      <c r="C17" s="14" t="s">
        <v>260</v>
      </c>
      <c r="D17" s="14" t="s">
        <v>261</v>
      </c>
      <c r="E17" s="14" t="s">
        <v>262</v>
      </c>
      <c r="F17" s="14" t="s">
        <v>228</v>
      </c>
    </row>
    <row r="18" spans="1:6" x14ac:dyDescent="0.2">
      <c r="A18" s="14" t="s">
        <v>309</v>
      </c>
      <c r="B18" s="14" t="s">
        <v>59</v>
      </c>
      <c r="C18" s="14" t="s">
        <v>293</v>
      </c>
      <c r="D18" s="14" t="s">
        <v>310</v>
      </c>
      <c r="E18" s="14" t="s">
        <v>267</v>
      </c>
      <c r="F18" s="14" t="s">
        <v>311</v>
      </c>
    </row>
    <row r="19" spans="1:6" ht="27.75" customHeight="1" x14ac:dyDescent="0.2">
      <c r="A19" s="14" t="s">
        <v>312</v>
      </c>
      <c r="B19" s="14" t="s">
        <v>59</v>
      </c>
      <c r="C19" s="14" t="s">
        <v>293</v>
      </c>
      <c r="D19" s="14" t="s">
        <v>313</v>
      </c>
      <c r="E19" s="14" t="s">
        <v>267</v>
      </c>
      <c r="F19" s="14" t="s">
        <v>314</v>
      </c>
    </row>
    <row r="20" spans="1:6" ht="27.75" customHeight="1" x14ac:dyDescent="0.2">
      <c r="A20" s="14" t="s">
        <v>315</v>
      </c>
      <c r="B20" s="14" t="s">
        <v>292</v>
      </c>
      <c r="C20" s="14" t="s">
        <v>301</v>
      </c>
      <c r="D20" s="14" t="s">
        <v>316</v>
      </c>
      <c r="E20" s="14" t="s">
        <v>267</v>
      </c>
      <c r="F20" s="14" t="s">
        <v>317</v>
      </c>
    </row>
    <row r="22" spans="1:6" x14ac:dyDescent="0.2">
      <c r="A22" t="s">
        <v>318</v>
      </c>
      <c r="B22" t="s">
        <v>39</v>
      </c>
      <c r="C22" t="s">
        <v>260</v>
      </c>
      <c r="D22" t="s">
        <v>261</v>
      </c>
      <c r="E22" t="s">
        <v>262</v>
      </c>
      <c r="F22" t="s">
        <v>228</v>
      </c>
    </row>
    <row r="23" spans="1:6" x14ac:dyDescent="0.2">
      <c r="A23" t="s">
        <v>319</v>
      </c>
      <c r="B23" t="s">
        <v>59</v>
      </c>
      <c r="C23" t="s">
        <v>285</v>
      </c>
      <c r="D23" t="s">
        <v>320</v>
      </c>
      <c r="E23" t="s">
        <v>267</v>
      </c>
      <c r="F23" t="s">
        <v>321</v>
      </c>
    </row>
    <row r="24" spans="1:6" x14ac:dyDescent="0.2">
      <c r="A24" t="s">
        <v>322</v>
      </c>
      <c r="B24" t="s">
        <v>323</v>
      </c>
      <c r="C24" t="s">
        <v>301</v>
      </c>
      <c r="D24" t="s">
        <v>324</v>
      </c>
      <c r="E24" t="s">
        <v>267</v>
      </c>
      <c r="F24" t="s">
        <v>325</v>
      </c>
    </row>
    <row r="26" spans="1:6" x14ac:dyDescent="0.2">
      <c r="A26" t="s">
        <v>326</v>
      </c>
      <c r="B26" t="s">
        <v>39</v>
      </c>
      <c r="C26" t="s">
        <v>260</v>
      </c>
      <c r="D26" t="s">
        <v>261</v>
      </c>
      <c r="E26" t="s">
        <v>262</v>
      </c>
      <c r="F26" t="s">
        <v>228</v>
      </c>
    </row>
    <row r="27" spans="1:6" x14ac:dyDescent="0.2">
      <c r="A27" t="s">
        <v>101</v>
      </c>
      <c r="B27" t="s">
        <v>59</v>
      </c>
      <c r="C27" t="s">
        <v>301</v>
      </c>
      <c r="D27" t="s">
        <v>327</v>
      </c>
      <c r="E27" t="s">
        <v>267</v>
      </c>
      <c r="F27" t="s">
        <v>321</v>
      </c>
    </row>
    <row r="28" spans="1:6" x14ac:dyDescent="0.2">
      <c r="A28" t="s">
        <v>328</v>
      </c>
      <c r="B28" t="s">
        <v>59</v>
      </c>
      <c r="C28" t="s">
        <v>293</v>
      </c>
      <c r="D28" t="s">
        <v>329</v>
      </c>
      <c r="E28" t="s">
        <v>267</v>
      </c>
      <c r="F28" t="s">
        <v>330</v>
      </c>
    </row>
    <row r="29" spans="1:6" x14ac:dyDescent="0.2">
      <c r="A29" t="s">
        <v>331</v>
      </c>
      <c r="B29" t="s">
        <v>332</v>
      </c>
      <c r="C29" t="s">
        <v>301</v>
      </c>
      <c r="D29" t="s">
        <v>333</v>
      </c>
      <c r="E29" t="s">
        <v>267</v>
      </c>
      <c r="F29" t="s">
        <v>334</v>
      </c>
    </row>
    <row r="31" spans="1:6" x14ac:dyDescent="0.2">
      <c r="A31" t="s">
        <v>335</v>
      </c>
      <c r="B31" t="s">
        <v>39</v>
      </c>
      <c r="C31" t="s">
        <v>260</v>
      </c>
      <c r="D31" t="s">
        <v>261</v>
      </c>
      <c r="E31" t="s">
        <v>262</v>
      </c>
      <c r="F31" t="s">
        <v>228</v>
      </c>
    </row>
    <row r="32" spans="1:6" x14ac:dyDescent="0.2">
      <c r="A32" t="s">
        <v>336</v>
      </c>
      <c r="B32" t="s">
        <v>337</v>
      </c>
      <c r="C32" t="s">
        <v>301</v>
      </c>
      <c r="D32" t="s">
        <v>338</v>
      </c>
      <c r="E32" t="s">
        <v>267</v>
      </c>
      <c r="F32" t="s">
        <v>339</v>
      </c>
    </row>
    <row r="33" spans="1:6" x14ac:dyDescent="0.2">
      <c r="A33" t="s">
        <v>322</v>
      </c>
      <c r="B33" t="s">
        <v>323</v>
      </c>
      <c r="C33" t="s">
        <v>301</v>
      </c>
      <c r="D33" t="s">
        <v>340</v>
      </c>
      <c r="E33" t="s">
        <v>267</v>
      </c>
      <c r="F33" t="s">
        <v>341</v>
      </c>
    </row>
    <row r="35" spans="1:6" x14ac:dyDescent="0.2">
      <c r="A35" t="s">
        <v>342</v>
      </c>
      <c r="B35" t="s">
        <v>39</v>
      </c>
      <c r="C35" t="s">
        <v>260</v>
      </c>
      <c r="D35" t="s">
        <v>261</v>
      </c>
      <c r="E35" t="s">
        <v>262</v>
      </c>
      <c r="F35" t="s">
        <v>228</v>
      </c>
    </row>
    <row r="36" spans="1:6" x14ac:dyDescent="0.2">
      <c r="A36" t="s">
        <v>343</v>
      </c>
      <c r="B36" t="s">
        <v>337</v>
      </c>
      <c r="C36" t="s">
        <v>301</v>
      </c>
      <c r="D36" t="s">
        <v>344</v>
      </c>
      <c r="E36" t="s">
        <v>267</v>
      </c>
      <c r="F36" t="s">
        <v>339</v>
      </c>
    </row>
    <row r="37" spans="1:6" x14ac:dyDescent="0.2">
      <c r="A37" t="s">
        <v>322</v>
      </c>
      <c r="B37" t="s">
        <v>323</v>
      </c>
      <c r="C37" t="s">
        <v>301</v>
      </c>
      <c r="D37" t="s">
        <v>345</v>
      </c>
      <c r="E37" t="s">
        <v>267</v>
      </c>
      <c r="F37" t="s">
        <v>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/>
  </sheetViews>
  <sheetFormatPr defaultRowHeight="15" x14ac:dyDescent="0.2"/>
  <cols>
    <col min="1" max="6" width="23.9453125" style="38" customWidth="1"/>
  </cols>
  <sheetData>
    <row r="1" spans="1:6" ht="21" customHeight="1" x14ac:dyDescent="0.3">
      <c r="A1" s="39" t="s">
        <v>347</v>
      </c>
      <c r="B1" s="39"/>
      <c r="C1" s="39"/>
      <c r="D1" s="39"/>
      <c r="E1" s="39"/>
      <c r="F1" s="39"/>
    </row>
    <row r="2" spans="1:6" x14ac:dyDescent="0.2">
      <c r="A2" s="14"/>
      <c r="B2" s="14"/>
      <c r="C2" s="14"/>
      <c r="D2" s="14"/>
      <c r="E2" s="14"/>
      <c r="F2" s="14"/>
    </row>
    <row r="3" spans="1:6" x14ac:dyDescent="0.2">
      <c r="A3" s="40" t="s">
        <v>145</v>
      </c>
      <c r="B3" s="40" t="s">
        <v>348</v>
      </c>
      <c r="C3" s="40" t="s">
        <v>349</v>
      </c>
      <c r="D3" s="40" t="s">
        <v>350</v>
      </c>
      <c r="E3" s="40" t="s">
        <v>39</v>
      </c>
      <c r="F3" s="14"/>
    </row>
    <row r="4" spans="1:6" x14ac:dyDescent="0.2">
      <c r="A4" s="14" t="s">
        <v>351</v>
      </c>
      <c r="B4" s="14" t="s">
        <v>179</v>
      </c>
      <c r="C4" s="14" t="s">
        <v>65</v>
      </c>
      <c r="D4" s="14" t="s">
        <v>352</v>
      </c>
      <c r="E4" s="14" t="s">
        <v>59</v>
      </c>
      <c r="F4" s="14"/>
    </row>
    <row r="5" spans="1:6" x14ac:dyDescent="0.2">
      <c r="A5" s="14" t="s">
        <v>353</v>
      </c>
      <c r="B5" s="14" t="s">
        <v>179</v>
      </c>
      <c r="C5" s="14" t="s">
        <v>354</v>
      </c>
      <c r="D5" s="14" t="s">
        <v>355</v>
      </c>
      <c r="E5" s="14" t="s">
        <v>59</v>
      </c>
      <c r="F5" s="14"/>
    </row>
    <row r="6" spans="1:6" x14ac:dyDescent="0.2">
      <c r="A6" s="14" t="s">
        <v>356</v>
      </c>
      <c r="B6" s="14" t="s">
        <v>179</v>
      </c>
      <c r="C6" s="14" t="s">
        <v>357</v>
      </c>
      <c r="D6" s="14" t="s">
        <v>358</v>
      </c>
      <c r="E6" s="14" t="s">
        <v>59</v>
      </c>
      <c r="F6" s="14"/>
    </row>
    <row r="7" spans="1:6" x14ac:dyDescent="0.2">
      <c r="A7" s="14" t="s">
        <v>359</v>
      </c>
      <c r="B7" s="14" t="s">
        <v>179</v>
      </c>
      <c r="C7" s="14" t="s">
        <v>360</v>
      </c>
      <c r="D7" s="14" t="s">
        <v>361</v>
      </c>
      <c r="E7" s="14" t="s">
        <v>59</v>
      </c>
      <c r="F7" s="14"/>
    </row>
    <row r="8" spans="1:6" x14ac:dyDescent="0.2">
      <c r="A8" s="14" t="s">
        <v>362</v>
      </c>
      <c r="B8" s="14" t="s">
        <v>363</v>
      </c>
      <c r="C8" s="14" t="s">
        <v>58</v>
      </c>
      <c r="D8" s="14" t="s">
        <v>364</v>
      </c>
      <c r="E8" s="14" t="s">
        <v>59</v>
      </c>
      <c r="F8" s="14"/>
    </row>
    <row r="9" spans="1:6" x14ac:dyDescent="0.2">
      <c r="A9" s="14" t="s">
        <v>365</v>
      </c>
      <c r="B9" s="14" t="s">
        <v>366</v>
      </c>
      <c r="C9" s="14" t="s">
        <v>65</v>
      </c>
      <c r="D9" s="14" t="s">
        <v>367</v>
      </c>
      <c r="E9" s="14" t="s">
        <v>59</v>
      </c>
      <c r="F9" s="14"/>
    </row>
    <row r="10" spans="1:6" x14ac:dyDescent="0.2">
      <c r="A10" s="14" t="s">
        <v>368</v>
      </c>
      <c r="B10" s="14" t="s">
        <v>179</v>
      </c>
      <c r="C10" s="14" t="s">
        <v>369</v>
      </c>
      <c r="D10" s="14" t="s">
        <v>370</v>
      </c>
      <c r="E10" s="14" t="s">
        <v>59</v>
      </c>
      <c r="F10" s="14"/>
    </row>
    <row r="11" spans="1:6" x14ac:dyDescent="0.2">
      <c r="A11" s="14"/>
      <c r="B11" s="14"/>
      <c r="C11" s="14"/>
      <c r="D11" s="14"/>
      <c r="E11" s="14"/>
      <c r="F11" s="14"/>
    </row>
    <row r="12" spans="1:6" x14ac:dyDescent="0.2">
      <c r="A12" s="14"/>
      <c r="B12" s="14"/>
      <c r="C12" s="14"/>
      <c r="D12" s="14"/>
      <c r="E12" s="14"/>
      <c r="F12" s="14"/>
    </row>
    <row r="13" spans="1:6" x14ac:dyDescent="0.2">
      <c r="A13" s="14"/>
      <c r="B13" s="14"/>
      <c r="C13" s="14"/>
      <c r="D13" s="14"/>
      <c r="E13" s="14"/>
      <c r="F13" s="14"/>
    </row>
    <row r="14" spans="1:6" x14ac:dyDescent="0.2">
      <c r="A14" s="14"/>
      <c r="B14" s="14"/>
      <c r="C14" s="14"/>
      <c r="D14" s="14"/>
      <c r="E14" s="14"/>
      <c r="F14" s="14"/>
    </row>
    <row r="15" spans="1:6" x14ac:dyDescent="0.2">
      <c r="A15" s="14"/>
      <c r="B15" s="14"/>
      <c r="C15" s="14"/>
      <c r="D15" s="14"/>
      <c r="E15" s="14"/>
      <c r="F15" s="14"/>
    </row>
    <row r="16" spans="1:6" x14ac:dyDescent="0.2">
      <c r="A16" s="14"/>
      <c r="B16" s="14"/>
      <c r="C16" s="14"/>
      <c r="D16" s="14"/>
      <c r="E16" s="14"/>
      <c r="F16" s="14"/>
    </row>
    <row r="17" spans="1:6" x14ac:dyDescent="0.2">
      <c r="A17" s="14"/>
      <c r="B17" s="14"/>
      <c r="C17" s="14"/>
      <c r="D17" s="14"/>
      <c r="E17" s="14"/>
      <c r="F17" s="14"/>
    </row>
    <row r="18" spans="1:6" x14ac:dyDescent="0.2">
      <c r="A18" s="14"/>
      <c r="B18" s="14"/>
      <c r="C18" s="14"/>
      <c r="D18" s="14"/>
      <c r="E18" s="14"/>
      <c r="F18" s="14"/>
    </row>
    <row r="19" spans="1:6" x14ac:dyDescent="0.2">
      <c r="A19" s="14"/>
      <c r="B19" s="14"/>
      <c r="C19" s="14"/>
      <c r="D19" s="14"/>
      <c r="E19" s="14"/>
      <c r="F19" s="14"/>
    </row>
    <row r="20" spans="1:6" x14ac:dyDescent="0.2">
      <c r="A20" s="14"/>
      <c r="B20" s="14"/>
      <c r="C20" s="14"/>
      <c r="D20" s="14"/>
      <c r="E20" s="14"/>
      <c r="F20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3"/>
  <sheetViews>
    <sheetView workbookViewId="0"/>
  </sheetViews>
  <sheetFormatPr defaultRowHeight="15" x14ac:dyDescent="0.2"/>
  <cols>
    <col min="1" max="6" width="23.9453125" style="38" customWidth="1"/>
  </cols>
  <sheetData>
    <row r="1" spans="1:6" ht="21" customHeight="1" x14ac:dyDescent="0.3">
      <c r="A1" s="39" t="s">
        <v>371</v>
      </c>
      <c r="B1" s="39"/>
      <c r="C1" s="39"/>
      <c r="D1" s="39"/>
      <c r="E1" s="39"/>
      <c r="F1" s="39"/>
    </row>
    <row r="2" spans="1:6" x14ac:dyDescent="0.2">
      <c r="A2" s="14"/>
      <c r="B2" s="14"/>
      <c r="C2" s="14"/>
      <c r="D2" s="14"/>
      <c r="E2" s="14"/>
      <c r="F2" s="14"/>
    </row>
    <row r="3" spans="1:6" x14ac:dyDescent="0.2">
      <c r="A3" s="40" t="s">
        <v>372</v>
      </c>
      <c r="B3" s="40" t="s">
        <v>373</v>
      </c>
      <c r="C3" s="40" t="s">
        <v>40</v>
      </c>
      <c r="D3" s="14"/>
      <c r="E3" s="14"/>
      <c r="F3" s="14"/>
    </row>
    <row r="4" spans="1:6" ht="27.75" customHeight="1" x14ac:dyDescent="0.2">
      <c r="A4" s="14" t="s">
        <v>374</v>
      </c>
      <c r="B4" s="14" t="s">
        <v>375</v>
      </c>
      <c r="C4" s="14" t="s">
        <v>376</v>
      </c>
      <c r="D4" s="14"/>
      <c r="E4" s="14"/>
      <c r="F4" s="14"/>
    </row>
    <row r="5" spans="1:6" ht="27.75" customHeight="1" x14ac:dyDescent="0.2">
      <c r="A5" s="14" t="s">
        <v>377</v>
      </c>
      <c r="B5" s="14" t="s">
        <v>375</v>
      </c>
      <c r="C5" s="14" t="s">
        <v>378</v>
      </c>
      <c r="D5" s="14"/>
      <c r="E5" s="14"/>
      <c r="F5" s="14"/>
    </row>
    <row r="6" spans="1:6" ht="27.75" customHeight="1" x14ac:dyDescent="0.2">
      <c r="A6" s="14" t="s">
        <v>379</v>
      </c>
      <c r="B6" s="14" t="s">
        <v>375</v>
      </c>
      <c r="C6" s="14" t="s">
        <v>380</v>
      </c>
      <c r="D6" s="14"/>
      <c r="E6" s="14"/>
      <c r="F6" s="14"/>
    </row>
    <row r="7" spans="1:6" x14ac:dyDescent="0.2">
      <c r="A7" s="14" t="s">
        <v>381</v>
      </c>
      <c r="B7" s="14" t="s">
        <v>375</v>
      </c>
      <c r="C7" s="14" t="s">
        <v>382</v>
      </c>
      <c r="D7" s="14"/>
      <c r="E7" s="14"/>
      <c r="F7" s="14"/>
    </row>
    <row r="8" spans="1:6" x14ac:dyDescent="0.2">
      <c r="A8" s="14" t="s">
        <v>383</v>
      </c>
      <c r="B8" s="14" t="s">
        <v>375</v>
      </c>
      <c r="C8" s="14" t="s">
        <v>384</v>
      </c>
      <c r="D8" s="14"/>
      <c r="E8" s="14"/>
      <c r="F8" s="14"/>
    </row>
    <row r="9" spans="1:6" ht="27.75" customHeight="1" x14ac:dyDescent="0.2">
      <c r="A9" s="14" t="s">
        <v>191</v>
      </c>
      <c r="B9" s="14" t="s">
        <v>385</v>
      </c>
      <c r="C9" s="14" t="s">
        <v>386</v>
      </c>
      <c r="D9" s="14"/>
      <c r="E9" s="14"/>
      <c r="F9" s="14"/>
    </row>
    <row r="10" spans="1:6" x14ac:dyDescent="0.2">
      <c r="A10" s="14" t="s">
        <v>387</v>
      </c>
      <c r="B10" s="14" t="s">
        <v>388</v>
      </c>
      <c r="C10" s="14"/>
      <c r="D10" s="14"/>
      <c r="E10" s="14"/>
      <c r="F10" s="14"/>
    </row>
    <row r="11" spans="1:6" ht="27.75" customHeight="1" x14ac:dyDescent="0.2">
      <c r="A11" s="14" t="s">
        <v>389</v>
      </c>
      <c r="B11" s="14" t="s">
        <v>390</v>
      </c>
      <c r="C11" s="14" t="s">
        <v>391</v>
      </c>
      <c r="D11" s="14"/>
      <c r="E11" s="14"/>
      <c r="F11" s="14"/>
    </row>
    <row r="12" spans="1:6" x14ac:dyDescent="0.2">
      <c r="A12" s="14"/>
      <c r="B12" s="14"/>
      <c r="C12" s="14"/>
      <c r="D12" s="14"/>
      <c r="E12" s="14"/>
      <c r="F12" s="14"/>
    </row>
    <row r="13" spans="1:6" x14ac:dyDescent="0.2">
      <c r="A13" s="14" t="s">
        <v>392</v>
      </c>
      <c r="B13" s="14"/>
      <c r="C13" s="14"/>
      <c r="D13" s="14"/>
      <c r="E13" s="14"/>
      <c r="F13" s="14"/>
    </row>
    <row r="14" spans="1:6" x14ac:dyDescent="0.2">
      <c r="A14" s="14" t="s">
        <v>387</v>
      </c>
      <c r="B14" s="14" t="s">
        <v>393</v>
      </c>
      <c r="C14" s="14"/>
      <c r="D14" s="14"/>
      <c r="E14" s="14"/>
      <c r="F14" s="14"/>
    </row>
    <row r="15" spans="1:6" x14ac:dyDescent="0.2">
      <c r="A15" s="14" t="s">
        <v>394</v>
      </c>
      <c r="B15" s="14" t="s">
        <v>395</v>
      </c>
      <c r="C15" s="14"/>
      <c r="D15" s="14"/>
      <c r="E15" s="14"/>
      <c r="F15" s="14"/>
    </row>
    <row r="16" spans="1:6" x14ac:dyDescent="0.2">
      <c r="A16" s="14" t="s">
        <v>396</v>
      </c>
      <c r="B16" s="14" t="s">
        <v>397</v>
      </c>
      <c r="C16" s="14"/>
      <c r="D16" s="14"/>
      <c r="E16" s="14"/>
      <c r="F16" s="14"/>
    </row>
    <row r="17" spans="1:6" x14ac:dyDescent="0.2">
      <c r="A17" s="14" t="s">
        <v>374</v>
      </c>
      <c r="B17" s="14" t="s">
        <v>395</v>
      </c>
      <c r="C17" s="14"/>
      <c r="D17" s="14"/>
      <c r="E17" s="14"/>
      <c r="F17" s="14"/>
    </row>
    <row r="18" spans="1:6" x14ac:dyDescent="0.2">
      <c r="A18" s="14" t="s">
        <v>398</v>
      </c>
      <c r="B18" s="14" t="s">
        <v>395</v>
      </c>
      <c r="C18" s="14"/>
      <c r="D18" s="14"/>
      <c r="E18" s="14"/>
      <c r="F18" s="14"/>
    </row>
    <row r="19" spans="1:6" x14ac:dyDescent="0.2">
      <c r="A19" s="14" t="s">
        <v>399</v>
      </c>
      <c r="B19" s="14" t="s">
        <v>395</v>
      </c>
      <c r="C19" s="14"/>
      <c r="D19" s="14"/>
      <c r="E19" s="14"/>
      <c r="F19" s="14"/>
    </row>
    <row r="20" spans="1:6" x14ac:dyDescent="0.2">
      <c r="A20" s="14"/>
      <c r="B20" s="14"/>
      <c r="C20" s="14"/>
      <c r="D20" s="14"/>
      <c r="E20" s="14"/>
      <c r="F20" s="14"/>
    </row>
    <row r="21" spans="1:6" x14ac:dyDescent="0.2">
      <c r="A21" t="s">
        <v>400</v>
      </c>
    </row>
    <row r="22" spans="1:6" x14ac:dyDescent="0.2">
      <c r="A22" t="s">
        <v>387</v>
      </c>
      <c r="B22" t="s">
        <v>401</v>
      </c>
    </row>
    <row r="23" spans="1:6" x14ac:dyDescent="0.2">
      <c r="A23" t="s">
        <v>394</v>
      </c>
      <c r="B23" t="s">
        <v>395</v>
      </c>
    </row>
    <row r="24" spans="1:6" x14ac:dyDescent="0.2">
      <c r="A24" t="s">
        <v>396</v>
      </c>
      <c r="B24" t="s">
        <v>397</v>
      </c>
    </row>
    <row r="25" spans="1:6" x14ac:dyDescent="0.2">
      <c r="A25" t="s">
        <v>374</v>
      </c>
      <c r="B25" t="s">
        <v>395</v>
      </c>
    </row>
    <row r="26" spans="1:6" x14ac:dyDescent="0.2">
      <c r="A26" t="s">
        <v>402</v>
      </c>
      <c r="B26" t="s">
        <v>395</v>
      </c>
    </row>
    <row r="27" spans="1:6" x14ac:dyDescent="0.2">
      <c r="A27" t="s">
        <v>403</v>
      </c>
      <c r="B27" t="s">
        <v>395</v>
      </c>
    </row>
    <row r="29" spans="1:6" x14ac:dyDescent="0.2">
      <c r="A29" t="s">
        <v>404</v>
      </c>
    </row>
    <row r="30" spans="1:6" x14ac:dyDescent="0.2">
      <c r="A30" t="s">
        <v>387</v>
      </c>
      <c r="B30" t="s">
        <v>405</v>
      </c>
    </row>
    <row r="31" spans="1:6" x14ac:dyDescent="0.2">
      <c r="A31" t="s">
        <v>394</v>
      </c>
      <c r="B31" t="s">
        <v>395</v>
      </c>
    </row>
    <row r="32" spans="1:6" x14ac:dyDescent="0.2">
      <c r="A32" t="s">
        <v>396</v>
      </c>
      <c r="B32" t="s">
        <v>397</v>
      </c>
    </row>
    <row r="33" spans="1:2" x14ac:dyDescent="0.2">
      <c r="A33" t="s">
        <v>374</v>
      </c>
      <c r="B33" t="s">
        <v>395</v>
      </c>
    </row>
    <row r="34" spans="1:2" x14ac:dyDescent="0.2">
      <c r="A34" t="s">
        <v>406</v>
      </c>
      <c r="B34" t="s">
        <v>395</v>
      </c>
    </row>
    <row r="35" spans="1:2" x14ac:dyDescent="0.2">
      <c r="A35" t="s">
        <v>407</v>
      </c>
      <c r="B35" t="s">
        <v>395</v>
      </c>
    </row>
    <row r="37" spans="1:2" x14ac:dyDescent="0.2">
      <c r="A37" t="s">
        <v>408</v>
      </c>
    </row>
    <row r="38" spans="1:2" x14ac:dyDescent="0.2">
      <c r="A38" t="s">
        <v>387</v>
      </c>
      <c r="B38" t="s">
        <v>409</v>
      </c>
    </row>
    <row r="39" spans="1:2" x14ac:dyDescent="0.2">
      <c r="A39" t="s">
        <v>394</v>
      </c>
      <c r="B39" t="s">
        <v>395</v>
      </c>
    </row>
    <row r="40" spans="1:2" x14ac:dyDescent="0.2">
      <c r="A40" t="s">
        <v>396</v>
      </c>
      <c r="B40" t="s">
        <v>397</v>
      </c>
    </row>
    <row r="41" spans="1:2" x14ac:dyDescent="0.2">
      <c r="A41" t="s">
        <v>374</v>
      </c>
      <c r="B41" t="s">
        <v>395</v>
      </c>
    </row>
    <row r="42" spans="1:2" x14ac:dyDescent="0.2">
      <c r="A42" t="s">
        <v>410</v>
      </c>
      <c r="B42" t="s">
        <v>395</v>
      </c>
    </row>
    <row r="43" spans="1:2" x14ac:dyDescent="0.2">
      <c r="A43" t="s">
        <v>411</v>
      </c>
      <c r="B43" t="s">
        <v>395</v>
      </c>
    </row>
    <row r="45" spans="1:2" x14ac:dyDescent="0.2">
      <c r="A45" s="41" t="s">
        <v>412</v>
      </c>
    </row>
    <row r="46" spans="1:2" x14ac:dyDescent="0.2">
      <c r="A46" t="s">
        <v>413</v>
      </c>
      <c r="B46" t="s">
        <v>375</v>
      </c>
    </row>
    <row r="47" spans="1:2" x14ac:dyDescent="0.2">
      <c r="A47" t="s">
        <v>374</v>
      </c>
      <c r="B47" t="s">
        <v>375</v>
      </c>
    </row>
    <row r="48" spans="1:2" x14ac:dyDescent="0.2">
      <c r="A48" t="s">
        <v>414</v>
      </c>
      <c r="B48" t="s">
        <v>375</v>
      </c>
    </row>
    <row r="50" spans="1:2" x14ac:dyDescent="0.2">
      <c r="A50" s="41" t="s">
        <v>415</v>
      </c>
    </row>
    <row r="51" spans="1:2" x14ac:dyDescent="0.2">
      <c r="A51" t="s">
        <v>416</v>
      </c>
      <c r="B51" t="s">
        <v>375</v>
      </c>
    </row>
    <row r="52" spans="1:2" x14ac:dyDescent="0.2">
      <c r="A52" t="s">
        <v>374</v>
      </c>
      <c r="B52" t="s">
        <v>375</v>
      </c>
    </row>
    <row r="53" spans="1:2" x14ac:dyDescent="0.2">
      <c r="A53" t="s">
        <v>414</v>
      </c>
      <c r="B53" t="s">
        <v>375</v>
      </c>
    </row>
    <row r="54" spans="1:2" x14ac:dyDescent="0.2">
      <c r="A54" t="s">
        <v>417</v>
      </c>
      <c r="B54" t="s">
        <v>375</v>
      </c>
    </row>
    <row r="56" spans="1:2" x14ac:dyDescent="0.2">
      <c r="A56" s="41" t="s">
        <v>418</v>
      </c>
    </row>
    <row r="57" spans="1:2" x14ac:dyDescent="0.2">
      <c r="A57" t="s">
        <v>419</v>
      </c>
      <c r="B57" t="s">
        <v>375</v>
      </c>
    </row>
    <row r="58" spans="1:2" x14ac:dyDescent="0.2">
      <c r="A58" t="s">
        <v>374</v>
      </c>
      <c r="B58" t="s">
        <v>375</v>
      </c>
    </row>
    <row r="59" spans="1:2" x14ac:dyDescent="0.2">
      <c r="A59" t="s">
        <v>414</v>
      </c>
      <c r="B59" t="s">
        <v>375</v>
      </c>
    </row>
    <row r="60" spans="1:2" x14ac:dyDescent="0.2">
      <c r="A60" t="s">
        <v>420</v>
      </c>
      <c r="B60" t="s">
        <v>375</v>
      </c>
    </row>
    <row r="62" spans="1:2" x14ac:dyDescent="0.2">
      <c r="A62" t="s">
        <v>421</v>
      </c>
    </row>
    <row r="63" spans="1:2" x14ac:dyDescent="0.2">
      <c r="A63" t="s">
        <v>387</v>
      </c>
      <c r="B63" t="s">
        <v>422</v>
      </c>
    </row>
    <row r="64" spans="1:2" x14ac:dyDescent="0.2">
      <c r="A64" t="s">
        <v>423</v>
      </c>
      <c r="B64" t="s">
        <v>375</v>
      </c>
    </row>
    <row r="65" spans="1:2" x14ac:dyDescent="0.2">
      <c r="A65" t="s">
        <v>424</v>
      </c>
      <c r="B65" t="s">
        <v>375</v>
      </c>
    </row>
    <row r="66" spans="1:2" x14ac:dyDescent="0.2">
      <c r="A66" t="s">
        <v>425</v>
      </c>
      <c r="B66" t="s">
        <v>395</v>
      </c>
    </row>
    <row r="67" spans="1:2" x14ac:dyDescent="0.2">
      <c r="A67" t="s">
        <v>426</v>
      </c>
      <c r="B67" t="s">
        <v>395</v>
      </c>
    </row>
    <row r="69" spans="1:2" x14ac:dyDescent="0.2">
      <c r="A69" t="s">
        <v>427</v>
      </c>
    </row>
    <row r="70" spans="1:2" x14ac:dyDescent="0.2">
      <c r="A70" t="s">
        <v>387</v>
      </c>
      <c r="B70" t="s">
        <v>428</v>
      </c>
    </row>
    <row r="71" spans="1:2" x14ac:dyDescent="0.2">
      <c r="A71" t="s">
        <v>423</v>
      </c>
      <c r="B71" t="s">
        <v>375</v>
      </c>
    </row>
    <row r="72" spans="1:2" x14ac:dyDescent="0.2">
      <c r="A72" t="s">
        <v>424</v>
      </c>
      <c r="B72" t="s">
        <v>375</v>
      </c>
    </row>
    <row r="73" spans="1:2" x14ac:dyDescent="0.2">
      <c r="A73" t="s">
        <v>429</v>
      </c>
      <c r="B73" t="s">
        <v>375</v>
      </c>
    </row>
    <row r="74" spans="1:2" x14ac:dyDescent="0.2">
      <c r="A74" t="s">
        <v>430</v>
      </c>
      <c r="B74" t="s">
        <v>395</v>
      </c>
    </row>
    <row r="75" spans="1:2" x14ac:dyDescent="0.2">
      <c r="A75" t="s">
        <v>426</v>
      </c>
      <c r="B75" t="s">
        <v>395</v>
      </c>
    </row>
    <row r="77" spans="1:2" x14ac:dyDescent="0.2">
      <c r="A77" t="s">
        <v>431</v>
      </c>
    </row>
    <row r="78" spans="1:2" x14ac:dyDescent="0.2">
      <c r="A78" t="s">
        <v>432</v>
      </c>
      <c r="B78" t="s">
        <v>375</v>
      </c>
    </row>
    <row r="80" spans="1:2" x14ac:dyDescent="0.2">
      <c r="A80" t="s">
        <v>433</v>
      </c>
    </row>
    <row r="81" spans="1:2" x14ac:dyDescent="0.2">
      <c r="A81" t="s">
        <v>387</v>
      </c>
      <c r="B81" t="s">
        <v>434</v>
      </c>
    </row>
    <row r="82" spans="1:2" x14ac:dyDescent="0.2">
      <c r="A82" t="s">
        <v>394</v>
      </c>
      <c r="B82" t="s">
        <v>375</v>
      </c>
    </row>
    <row r="83" spans="1:2" x14ac:dyDescent="0.2">
      <c r="A83" t="s">
        <v>374</v>
      </c>
      <c r="B83" t="s">
        <v>395</v>
      </c>
    </row>
    <row r="84" spans="1:2" x14ac:dyDescent="0.2">
      <c r="A84" t="s">
        <v>435</v>
      </c>
      <c r="B84" t="s">
        <v>395</v>
      </c>
    </row>
    <row r="86" spans="1:2" x14ac:dyDescent="0.2">
      <c r="A86" t="s">
        <v>436</v>
      </c>
    </row>
    <row r="87" spans="1:2" x14ac:dyDescent="0.2">
      <c r="A87" t="s">
        <v>387</v>
      </c>
      <c r="B87" t="s">
        <v>437</v>
      </c>
    </row>
    <row r="88" spans="1:2" x14ac:dyDescent="0.2">
      <c r="A88" t="s">
        <v>438</v>
      </c>
      <c r="B88" t="s">
        <v>375</v>
      </c>
    </row>
    <row r="89" spans="1:2" x14ac:dyDescent="0.2">
      <c r="A89" t="s">
        <v>439</v>
      </c>
      <c r="B89" t="s">
        <v>375</v>
      </c>
    </row>
    <row r="90" spans="1:2" x14ac:dyDescent="0.2">
      <c r="A90" t="s">
        <v>440</v>
      </c>
      <c r="B90" t="s">
        <v>375</v>
      </c>
    </row>
    <row r="91" spans="1:2" x14ac:dyDescent="0.2">
      <c r="A91" t="s">
        <v>441</v>
      </c>
      <c r="B91" t="s">
        <v>236</v>
      </c>
    </row>
    <row r="93" spans="1:2" x14ac:dyDescent="0.2">
      <c r="A93" t="s">
        <v>433</v>
      </c>
    </row>
    <row r="94" spans="1:2" x14ac:dyDescent="0.2">
      <c r="A94" t="s">
        <v>387</v>
      </c>
      <c r="B94" t="s">
        <v>442</v>
      </c>
    </row>
    <row r="95" spans="1:2" x14ac:dyDescent="0.2">
      <c r="A95" t="s">
        <v>394</v>
      </c>
      <c r="B95" t="s">
        <v>375</v>
      </c>
    </row>
    <row r="96" spans="1:2" x14ac:dyDescent="0.2">
      <c r="A96" t="s">
        <v>443</v>
      </c>
      <c r="B96" t="s">
        <v>395</v>
      </c>
    </row>
    <row r="97" spans="1:2" x14ac:dyDescent="0.2">
      <c r="A97" t="s">
        <v>444</v>
      </c>
      <c r="B97" t="s">
        <v>78</v>
      </c>
    </row>
    <row r="99" spans="1:2" x14ac:dyDescent="0.2">
      <c r="A99" t="s">
        <v>445</v>
      </c>
    </row>
    <row r="100" spans="1:2" x14ac:dyDescent="0.2">
      <c r="A100" t="s">
        <v>387</v>
      </c>
      <c r="B100" t="s">
        <v>446</v>
      </c>
    </row>
    <row r="101" spans="1:2" x14ac:dyDescent="0.2">
      <c r="A101" t="s">
        <v>447</v>
      </c>
      <c r="B101" t="s">
        <v>448</v>
      </c>
    </row>
    <row r="102" spans="1:2" x14ac:dyDescent="0.2">
      <c r="A102" t="s">
        <v>394</v>
      </c>
      <c r="B102" t="s">
        <v>395</v>
      </c>
    </row>
    <row r="103" spans="1:2" x14ac:dyDescent="0.2">
      <c r="A103" t="s">
        <v>77</v>
      </c>
      <c r="B103" t="s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/>
  </sheetViews>
  <sheetFormatPr defaultRowHeight="15" x14ac:dyDescent="0.2"/>
  <cols>
    <col min="1" max="1" width="41.8359375" style="38" customWidth="1"/>
    <col min="2" max="2" width="31.87890625" style="38" customWidth="1"/>
    <col min="3" max="3" width="20.84765625" style="38" customWidth="1"/>
    <col min="4" max="4" width="17.62109375" style="38" customWidth="1"/>
    <col min="5" max="5" width="13.85546875" style="38" customWidth="1"/>
    <col min="6" max="6" width="6.58984375" style="38" customWidth="1"/>
  </cols>
  <sheetData>
    <row r="1" spans="1:6" ht="21" customHeight="1" x14ac:dyDescent="0.3">
      <c r="A1" s="1" t="s">
        <v>449</v>
      </c>
      <c r="B1" s="1"/>
      <c r="C1" s="1"/>
      <c r="D1" s="1"/>
      <c r="E1" s="1"/>
      <c r="F1" s="1"/>
    </row>
    <row r="3" spans="1:6" x14ac:dyDescent="0.2">
      <c r="A3" s="2" t="s">
        <v>450</v>
      </c>
      <c r="B3" s="2" t="s">
        <v>36</v>
      </c>
      <c r="C3" s="2" t="s">
        <v>451</v>
      </c>
      <c r="D3" s="2" t="s">
        <v>452</v>
      </c>
      <c r="E3" s="2" t="s">
        <v>349</v>
      </c>
      <c r="F3" s="2" t="s">
        <v>39</v>
      </c>
    </row>
    <row r="4" spans="1:6" x14ac:dyDescent="0.2">
      <c r="A4" t="s">
        <v>182</v>
      </c>
      <c r="B4" t="s">
        <v>453</v>
      </c>
      <c r="C4" t="s">
        <v>454</v>
      </c>
      <c r="D4" t="s">
        <v>455</v>
      </c>
      <c r="E4" t="s">
        <v>456</v>
      </c>
      <c r="F4" t="s">
        <v>201</v>
      </c>
    </row>
    <row r="5" spans="1:6" x14ac:dyDescent="0.2">
      <c r="A5" t="s">
        <v>188</v>
      </c>
      <c r="B5" t="s">
        <v>457</v>
      </c>
      <c r="C5" t="s">
        <v>454</v>
      </c>
      <c r="D5" t="s">
        <v>455</v>
      </c>
      <c r="E5" t="s">
        <v>458</v>
      </c>
      <c r="F5" t="s">
        <v>201</v>
      </c>
    </row>
    <row r="6" spans="1:6" x14ac:dyDescent="0.2">
      <c r="A6" t="s">
        <v>198</v>
      </c>
      <c r="B6" t="s">
        <v>199</v>
      </c>
      <c r="C6" t="s">
        <v>459</v>
      </c>
      <c r="D6" t="s">
        <v>460</v>
      </c>
      <c r="E6" t="s">
        <v>66</v>
      </c>
      <c r="F6" t="s">
        <v>201</v>
      </c>
    </row>
    <row r="7" spans="1:6" x14ac:dyDescent="0.2">
      <c r="A7" t="s">
        <v>193</v>
      </c>
      <c r="B7" t="s">
        <v>461</v>
      </c>
      <c r="C7" t="s">
        <v>462</v>
      </c>
      <c r="D7" t="s">
        <v>463</v>
      </c>
      <c r="E7" t="s">
        <v>458</v>
      </c>
      <c r="F7" t="s">
        <v>201</v>
      </c>
    </row>
    <row r="8" spans="1:6" x14ac:dyDescent="0.2">
      <c r="A8" t="s">
        <v>464</v>
      </c>
      <c r="B8" t="s">
        <v>465</v>
      </c>
      <c r="C8" t="s">
        <v>462</v>
      </c>
      <c r="D8" t="s">
        <v>460</v>
      </c>
      <c r="E8" t="s">
        <v>466</v>
      </c>
      <c r="F8" t="s">
        <v>201</v>
      </c>
    </row>
    <row r="9" spans="1:6" x14ac:dyDescent="0.2">
      <c r="A9" t="s">
        <v>467</v>
      </c>
      <c r="B9" t="s">
        <v>468</v>
      </c>
      <c r="C9" t="s">
        <v>469</v>
      </c>
      <c r="D9" t="s">
        <v>470</v>
      </c>
      <c r="E9" t="s">
        <v>247</v>
      </c>
      <c r="F9" t="s">
        <v>201</v>
      </c>
    </row>
    <row r="10" spans="1:6" x14ac:dyDescent="0.2">
      <c r="A10" t="s">
        <v>471</v>
      </c>
      <c r="B10" t="s">
        <v>472</v>
      </c>
      <c r="C10" t="s">
        <v>473</v>
      </c>
      <c r="D10" t="s">
        <v>455</v>
      </c>
      <c r="E10" t="s">
        <v>466</v>
      </c>
      <c r="F10" t="s">
        <v>59</v>
      </c>
    </row>
    <row r="11" spans="1:6" x14ac:dyDescent="0.2">
      <c r="A11" t="s">
        <v>474</v>
      </c>
      <c r="B11" t="s">
        <v>475</v>
      </c>
      <c r="C11" t="s">
        <v>476</v>
      </c>
      <c r="D11" t="s">
        <v>477</v>
      </c>
      <c r="E11" t="s">
        <v>466</v>
      </c>
      <c r="F11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"/>
  <sheetViews>
    <sheetView workbookViewId="0"/>
  </sheetViews>
  <sheetFormatPr defaultRowHeight="15" x14ac:dyDescent="0.2"/>
  <cols>
    <col min="1" max="1" width="37.6640625" style="38" customWidth="1"/>
    <col min="2" max="2" width="21.92578125" style="38" customWidth="1"/>
    <col min="3" max="3" width="10.76171875" style="38" customWidth="1"/>
    <col min="4" max="4" width="10.625" style="38" customWidth="1"/>
    <col min="5" max="5" width="12.9140625" style="38" customWidth="1"/>
    <col min="6" max="6" width="6.859375" style="38" customWidth="1"/>
    <col min="7" max="7" width="26.23046875" style="38" customWidth="1"/>
  </cols>
  <sheetData>
    <row r="1" spans="1:7" ht="21" customHeight="1" x14ac:dyDescent="0.3">
      <c r="A1" s="1" t="s">
        <v>478</v>
      </c>
      <c r="B1" s="1"/>
      <c r="C1" s="1"/>
      <c r="D1" s="1"/>
      <c r="E1" s="1"/>
      <c r="F1" s="1"/>
      <c r="G1" s="1"/>
    </row>
    <row r="3" spans="1:7" x14ac:dyDescent="0.2">
      <c r="A3" s="2" t="s">
        <v>173</v>
      </c>
      <c r="B3" s="2" t="s">
        <v>479</v>
      </c>
      <c r="C3" s="2" t="s">
        <v>39</v>
      </c>
      <c r="D3" s="2" t="s">
        <v>480</v>
      </c>
      <c r="E3" s="2" t="s">
        <v>481</v>
      </c>
      <c r="F3" s="2" t="s">
        <v>262</v>
      </c>
      <c r="G3" s="2" t="s">
        <v>228</v>
      </c>
    </row>
    <row r="4" spans="1:7" x14ac:dyDescent="0.2">
      <c r="A4" t="s">
        <v>176</v>
      </c>
      <c r="B4" t="s">
        <v>482</v>
      </c>
      <c r="C4" t="s">
        <v>180</v>
      </c>
      <c r="D4" t="s">
        <v>483</v>
      </c>
      <c r="E4" t="s">
        <v>484</v>
      </c>
      <c r="F4" t="s">
        <v>267</v>
      </c>
      <c r="G4" t="s">
        <v>485</v>
      </c>
    </row>
    <row r="5" spans="1:7" x14ac:dyDescent="0.2">
      <c r="A5" t="s">
        <v>182</v>
      </c>
      <c r="B5" t="s">
        <v>486</v>
      </c>
      <c r="C5" t="s">
        <v>487</v>
      </c>
      <c r="E5" t="s">
        <v>488</v>
      </c>
      <c r="F5" t="s">
        <v>272</v>
      </c>
      <c r="G5" t="s">
        <v>489</v>
      </c>
    </row>
    <row r="6" spans="1:7" x14ac:dyDescent="0.2">
      <c r="A6" t="s">
        <v>188</v>
      </c>
      <c r="B6" t="s">
        <v>490</v>
      </c>
      <c r="C6" t="s">
        <v>487</v>
      </c>
      <c r="E6" t="s">
        <v>488</v>
      </c>
      <c r="F6" t="s">
        <v>272</v>
      </c>
      <c r="G6" t="s">
        <v>491</v>
      </c>
    </row>
    <row r="7" spans="1:7" x14ac:dyDescent="0.2">
      <c r="A7" t="s">
        <v>198</v>
      </c>
      <c r="B7" t="s">
        <v>492</v>
      </c>
      <c r="C7" t="s">
        <v>487</v>
      </c>
      <c r="E7" t="s">
        <v>488</v>
      </c>
      <c r="F7" t="s">
        <v>267</v>
      </c>
      <c r="G7" t="s">
        <v>493</v>
      </c>
    </row>
    <row r="8" spans="1:7" x14ac:dyDescent="0.2">
      <c r="A8" t="s">
        <v>193</v>
      </c>
      <c r="B8" t="s">
        <v>490</v>
      </c>
      <c r="C8" t="s">
        <v>487</v>
      </c>
      <c r="E8" t="s">
        <v>488</v>
      </c>
      <c r="F8" t="s">
        <v>267</v>
      </c>
      <c r="G8" t="s">
        <v>494</v>
      </c>
    </row>
    <row r="9" spans="1:7" x14ac:dyDescent="0.2">
      <c r="A9" t="s">
        <v>464</v>
      </c>
      <c r="B9" t="s">
        <v>495</v>
      </c>
      <c r="C9" t="s">
        <v>201</v>
      </c>
      <c r="E9" t="s">
        <v>488</v>
      </c>
      <c r="F9" t="s">
        <v>267</v>
      </c>
      <c r="G9" t="s">
        <v>496</v>
      </c>
    </row>
    <row r="10" spans="1:7" x14ac:dyDescent="0.2">
      <c r="A10" t="s">
        <v>497</v>
      </c>
      <c r="B10" t="s">
        <v>498</v>
      </c>
      <c r="C10" t="s">
        <v>201</v>
      </c>
      <c r="E10" t="s">
        <v>488</v>
      </c>
      <c r="F10" t="s">
        <v>272</v>
      </c>
      <c r="G10" t="s">
        <v>499</v>
      </c>
    </row>
    <row r="12" spans="1:7" x14ac:dyDescent="0.2">
      <c r="A12" t="s">
        <v>500</v>
      </c>
      <c r="B12" t="s">
        <v>501</v>
      </c>
      <c r="C12" t="s">
        <v>180</v>
      </c>
      <c r="D12" t="s">
        <v>483</v>
      </c>
      <c r="E12" t="s">
        <v>488</v>
      </c>
      <c r="F12" t="s">
        <v>267</v>
      </c>
      <c r="G12" t="s">
        <v>502</v>
      </c>
    </row>
    <row r="14" spans="1:7" x14ac:dyDescent="0.2">
      <c r="A14" t="s">
        <v>503</v>
      </c>
      <c r="B14" t="s">
        <v>504</v>
      </c>
      <c r="C14" t="s">
        <v>180</v>
      </c>
      <c r="D14" t="s">
        <v>483</v>
      </c>
      <c r="E14" t="s">
        <v>488</v>
      </c>
      <c r="F14" t="s">
        <v>267</v>
      </c>
      <c r="G14" t="s">
        <v>505</v>
      </c>
    </row>
    <row r="16" spans="1:7" x14ac:dyDescent="0.2">
      <c r="A16" t="s">
        <v>221</v>
      </c>
      <c r="B16" t="s">
        <v>506</v>
      </c>
      <c r="C16" t="s">
        <v>180</v>
      </c>
      <c r="D16" t="s">
        <v>483</v>
      </c>
      <c r="E16" t="s">
        <v>488</v>
      </c>
      <c r="F16" t="s">
        <v>267</v>
      </c>
      <c r="G16" t="s">
        <v>505</v>
      </c>
    </row>
    <row r="18" spans="1:7" x14ac:dyDescent="0.2">
      <c r="A18" t="s">
        <v>507</v>
      </c>
      <c r="B18" t="s">
        <v>508</v>
      </c>
      <c r="C18" t="s">
        <v>509</v>
      </c>
      <c r="D18" t="s">
        <v>483</v>
      </c>
      <c r="E18" t="s">
        <v>488</v>
      </c>
      <c r="F18" t="s">
        <v>267</v>
      </c>
      <c r="G18" t="s">
        <v>510</v>
      </c>
    </row>
    <row r="20" spans="1:7" x14ac:dyDescent="0.2">
      <c r="A20" t="s">
        <v>511</v>
      </c>
      <c r="B20" t="s">
        <v>512</v>
      </c>
      <c r="C20" t="s">
        <v>509</v>
      </c>
      <c r="D20" t="s">
        <v>483</v>
      </c>
      <c r="E20" t="s">
        <v>488</v>
      </c>
      <c r="F20" t="s">
        <v>267</v>
      </c>
      <c r="G20" t="s">
        <v>510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/>
  </sheetViews>
  <sheetFormatPr defaultRowHeight="15" x14ac:dyDescent="0.2"/>
  <cols>
    <col min="1" max="1" width="37.6640625" style="38" customWidth="1"/>
    <col min="2" max="2" width="31.74609375" style="38" customWidth="1"/>
    <col min="3" max="3" width="20.84765625" style="38" customWidth="1"/>
    <col min="4" max="4" width="20.71484375" style="38" customWidth="1"/>
    <col min="5" max="5" width="20.58203125" style="38" customWidth="1"/>
    <col min="6" max="6" width="18.5625" style="38" customWidth="1"/>
    <col min="7" max="7" width="14.125" style="38" customWidth="1"/>
  </cols>
  <sheetData>
    <row r="1" spans="1:7" ht="21" customHeight="1" x14ac:dyDescent="0.3">
      <c r="A1" s="3" t="s">
        <v>513</v>
      </c>
      <c r="B1" s="3"/>
      <c r="C1" s="3"/>
      <c r="D1" s="3"/>
      <c r="E1" s="3"/>
      <c r="F1" s="3"/>
      <c r="G1" s="3"/>
    </row>
    <row r="3" spans="1:7" x14ac:dyDescent="0.2">
      <c r="A3" s="4" t="s">
        <v>173</v>
      </c>
      <c r="B3" s="4" t="s">
        <v>514</v>
      </c>
      <c r="C3" s="4" t="s">
        <v>515</v>
      </c>
      <c r="D3" s="4" t="s">
        <v>145</v>
      </c>
      <c r="E3" s="4" t="s">
        <v>516</v>
      </c>
      <c r="F3" s="4" t="s">
        <v>517</v>
      </c>
      <c r="G3" s="4" t="s">
        <v>39</v>
      </c>
    </row>
    <row r="4" spans="1:7" x14ac:dyDescent="0.2">
      <c r="A4" t="s">
        <v>176</v>
      </c>
      <c r="B4" t="s">
        <v>518</v>
      </c>
      <c r="C4" t="s">
        <v>519</v>
      </c>
      <c r="D4" t="s">
        <v>520</v>
      </c>
      <c r="E4" t="s">
        <v>521</v>
      </c>
      <c r="F4" t="s">
        <v>267</v>
      </c>
      <c r="G4" t="s">
        <v>180</v>
      </c>
    </row>
    <row r="5" spans="1:7" x14ac:dyDescent="0.2">
      <c r="A5" t="s">
        <v>182</v>
      </c>
      <c r="B5" t="s">
        <v>522</v>
      </c>
      <c r="C5" t="s">
        <v>523</v>
      </c>
      <c r="D5" t="s">
        <v>524</v>
      </c>
      <c r="E5" t="s">
        <v>525</v>
      </c>
      <c r="F5" t="s">
        <v>526</v>
      </c>
      <c r="G5" t="s">
        <v>186</v>
      </c>
    </row>
    <row r="6" spans="1:7" x14ac:dyDescent="0.2">
      <c r="A6" t="s">
        <v>188</v>
      </c>
      <c r="B6" t="s">
        <v>527</v>
      </c>
      <c r="C6" t="s">
        <v>528</v>
      </c>
      <c r="D6" t="s">
        <v>529</v>
      </c>
      <c r="E6" t="s">
        <v>530</v>
      </c>
      <c r="F6" t="s">
        <v>531</v>
      </c>
      <c r="G6" t="s">
        <v>186</v>
      </c>
    </row>
    <row r="7" spans="1:7" x14ac:dyDescent="0.2">
      <c r="A7" t="s">
        <v>198</v>
      </c>
      <c r="B7" t="s">
        <v>532</v>
      </c>
      <c r="C7" t="s">
        <v>533</v>
      </c>
      <c r="D7" t="s">
        <v>534</v>
      </c>
      <c r="E7" t="s">
        <v>460</v>
      </c>
      <c r="F7" t="s">
        <v>535</v>
      </c>
      <c r="G7" t="s">
        <v>201</v>
      </c>
    </row>
    <row r="8" spans="1:7" x14ac:dyDescent="0.2">
      <c r="A8" t="s">
        <v>193</v>
      </c>
      <c r="B8" t="s">
        <v>536</v>
      </c>
      <c r="C8" t="s">
        <v>537</v>
      </c>
      <c r="D8" t="s">
        <v>538</v>
      </c>
      <c r="E8" t="s">
        <v>521</v>
      </c>
      <c r="F8" t="s">
        <v>539</v>
      </c>
      <c r="G8" t="s">
        <v>201</v>
      </c>
    </row>
    <row r="9" spans="1:7" x14ac:dyDescent="0.2">
      <c r="A9" t="s">
        <v>464</v>
      </c>
      <c r="B9" t="s">
        <v>540</v>
      </c>
      <c r="C9" t="s">
        <v>541</v>
      </c>
      <c r="D9" t="s">
        <v>542</v>
      </c>
      <c r="E9" t="s">
        <v>543</v>
      </c>
      <c r="F9" t="s">
        <v>544</v>
      </c>
      <c r="G9" t="s">
        <v>201</v>
      </c>
    </row>
    <row r="10" spans="1:7" x14ac:dyDescent="0.2">
      <c r="A10" t="s">
        <v>467</v>
      </c>
      <c r="B10" t="s">
        <v>545</v>
      </c>
      <c r="C10" t="s">
        <v>546</v>
      </c>
      <c r="D10" t="s">
        <v>547</v>
      </c>
      <c r="E10" t="s">
        <v>548</v>
      </c>
      <c r="F10" t="s">
        <v>549</v>
      </c>
      <c r="G10" t="s">
        <v>550</v>
      </c>
    </row>
    <row r="11" spans="1:7" x14ac:dyDescent="0.2">
      <c r="A11" t="s">
        <v>471</v>
      </c>
      <c r="B11" t="s">
        <v>551</v>
      </c>
      <c r="C11" t="s">
        <v>552</v>
      </c>
      <c r="D11" t="s">
        <v>553</v>
      </c>
      <c r="E11" t="s">
        <v>554</v>
      </c>
      <c r="F11" t="s">
        <v>555</v>
      </c>
      <c r="G11" t="s">
        <v>201</v>
      </c>
    </row>
    <row r="13" spans="1:7" x14ac:dyDescent="0.2">
      <c r="A13" t="s">
        <v>503</v>
      </c>
      <c r="B13" t="s">
        <v>556</v>
      </c>
      <c r="C13" t="s">
        <v>557</v>
      </c>
      <c r="D13" t="s">
        <v>558</v>
      </c>
      <c r="E13" t="s">
        <v>559</v>
      </c>
      <c r="F13" t="s">
        <v>560</v>
      </c>
      <c r="G13" t="s">
        <v>561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/>
  </sheetViews>
  <sheetFormatPr defaultRowHeight="15" x14ac:dyDescent="0.2"/>
  <cols>
    <col min="1" max="1" width="31.74609375" style="38" customWidth="1"/>
    <col min="2" max="2" width="22.05859375" style="38" customWidth="1"/>
    <col min="3" max="3" width="24.6171875" style="38" customWidth="1"/>
    <col min="4" max="4" width="25.69140625" style="38" customWidth="1"/>
    <col min="5" max="5" width="18.16015625" style="38" customWidth="1"/>
    <col min="6" max="6" width="6.3203125" style="38" customWidth="1"/>
  </cols>
  <sheetData>
    <row r="1" spans="1:6" ht="21" customHeight="1" x14ac:dyDescent="0.3">
      <c r="A1" s="3" t="s">
        <v>562</v>
      </c>
      <c r="B1" s="3"/>
      <c r="C1" s="3"/>
      <c r="D1" s="3"/>
      <c r="E1" s="3"/>
      <c r="F1" s="3"/>
    </row>
    <row r="3" spans="1:6" x14ac:dyDescent="0.2">
      <c r="A3" s="4" t="s">
        <v>563</v>
      </c>
      <c r="B3" s="4" t="s">
        <v>564</v>
      </c>
      <c r="C3" s="4" t="s">
        <v>565</v>
      </c>
      <c r="D3" s="4" t="s">
        <v>566</v>
      </c>
      <c r="E3" s="4" t="s">
        <v>11</v>
      </c>
      <c r="F3" s="4" t="s">
        <v>39</v>
      </c>
    </row>
    <row r="4" spans="1:6" x14ac:dyDescent="0.2">
      <c r="A4" t="s">
        <v>567</v>
      </c>
      <c r="B4" t="s">
        <v>568</v>
      </c>
      <c r="C4" t="s">
        <v>569</v>
      </c>
      <c r="D4" t="s">
        <v>570</v>
      </c>
      <c r="E4" t="s">
        <v>571</v>
      </c>
      <c r="F4" t="s">
        <v>180</v>
      </c>
    </row>
    <row r="5" spans="1:6" x14ac:dyDescent="0.2">
      <c r="A5" t="s">
        <v>572</v>
      </c>
      <c r="B5" t="s">
        <v>573</v>
      </c>
      <c r="C5" t="s">
        <v>574</v>
      </c>
      <c r="D5" t="s">
        <v>575</v>
      </c>
      <c r="E5" t="s">
        <v>576</v>
      </c>
      <c r="F5" t="s">
        <v>59</v>
      </c>
    </row>
    <row r="6" spans="1:6" x14ac:dyDescent="0.2">
      <c r="A6" t="s">
        <v>577</v>
      </c>
      <c r="B6" t="s">
        <v>578</v>
      </c>
      <c r="C6" t="s">
        <v>579</v>
      </c>
      <c r="D6" t="s">
        <v>580</v>
      </c>
      <c r="E6" t="s">
        <v>581</v>
      </c>
      <c r="F6" t="s">
        <v>59</v>
      </c>
    </row>
    <row r="7" spans="1:6" x14ac:dyDescent="0.2">
      <c r="A7" t="s">
        <v>582</v>
      </c>
      <c r="B7" t="s">
        <v>583</v>
      </c>
      <c r="C7" t="s">
        <v>584</v>
      </c>
      <c r="D7" t="s">
        <v>585</v>
      </c>
      <c r="E7" t="s">
        <v>586</v>
      </c>
      <c r="F7" t="s">
        <v>59</v>
      </c>
    </row>
    <row r="8" spans="1:6" x14ac:dyDescent="0.2">
      <c r="A8" t="s">
        <v>587</v>
      </c>
      <c r="B8" t="s">
        <v>176</v>
      </c>
      <c r="C8" t="s">
        <v>588</v>
      </c>
      <c r="D8" t="s">
        <v>589</v>
      </c>
      <c r="E8" t="s">
        <v>590</v>
      </c>
      <c r="F8" t="s">
        <v>180</v>
      </c>
    </row>
    <row r="9" spans="1:6" x14ac:dyDescent="0.2">
      <c r="A9" t="s">
        <v>554</v>
      </c>
      <c r="B9" t="s">
        <v>591</v>
      </c>
      <c r="C9" t="s">
        <v>592</v>
      </c>
      <c r="D9" t="s">
        <v>593</v>
      </c>
      <c r="E9" t="s">
        <v>594</v>
      </c>
      <c r="F9" t="s">
        <v>59</v>
      </c>
    </row>
    <row r="10" spans="1:6" x14ac:dyDescent="0.2">
      <c r="A10" t="s">
        <v>595</v>
      </c>
      <c r="B10" t="s">
        <v>596</v>
      </c>
      <c r="C10" t="s">
        <v>597</v>
      </c>
      <c r="D10" t="s">
        <v>598</v>
      </c>
      <c r="E10" t="s">
        <v>599</v>
      </c>
      <c r="F10" t="s">
        <v>59</v>
      </c>
    </row>
    <row r="12" spans="1:6" x14ac:dyDescent="0.2">
      <c r="A12" t="s">
        <v>600</v>
      </c>
      <c r="B12" t="s">
        <v>553</v>
      </c>
      <c r="C12" t="s">
        <v>601</v>
      </c>
      <c r="D12" t="s">
        <v>602</v>
      </c>
      <c r="E12" t="s">
        <v>603</v>
      </c>
      <c r="F12" t="s">
        <v>59</v>
      </c>
    </row>
    <row r="13" spans="1:6" x14ac:dyDescent="0.2">
      <c r="A13" t="s">
        <v>604</v>
      </c>
      <c r="B13" t="s">
        <v>605</v>
      </c>
      <c r="C13" t="s">
        <v>606</v>
      </c>
      <c r="D13" t="s">
        <v>607</v>
      </c>
      <c r="E13" t="s">
        <v>608</v>
      </c>
      <c r="F13" t="s">
        <v>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"/>
  <sheetViews>
    <sheetView workbookViewId="0"/>
  </sheetViews>
  <sheetFormatPr defaultRowHeight="15" x14ac:dyDescent="0.2"/>
  <cols>
    <col min="1" max="1" width="32.8203125" style="38" customWidth="1"/>
    <col min="2" max="2" width="12.10546875" style="38" customWidth="1"/>
    <col min="3" max="3" width="34.4375" style="38" customWidth="1"/>
    <col min="4" max="4" width="19.1015625" style="38" customWidth="1"/>
    <col min="5" max="5" width="17.21875" style="38" customWidth="1"/>
    <col min="6" max="6" width="6.58984375" style="38" customWidth="1"/>
    <col min="7" max="7" width="16.54296875" style="38" customWidth="1"/>
  </cols>
  <sheetData>
    <row r="1" spans="1:7" ht="21" customHeight="1" x14ac:dyDescent="0.3">
      <c r="A1" s="5" t="s">
        <v>609</v>
      </c>
      <c r="B1" s="5"/>
      <c r="C1" s="5"/>
      <c r="D1" s="5"/>
      <c r="E1" s="5"/>
      <c r="F1" s="5"/>
      <c r="G1" s="5"/>
    </row>
    <row r="3" spans="1:7" x14ac:dyDescent="0.2">
      <c r="A3" s="6" t="s">
        <v>610</v>
      </c>
      <c r="B3" s="6" t="s">
        <v>611</v>
      </c>
      <c r="C3" s="6" t="s">
        <v>36</v>
      </c>
      <c r="D3" s="6" t="s">
        <v>612</v>
      </c>
      <c r="E3" s="6" t="s">
        <v>613</v>
      </c>
      <c r="F3" s="6" t="s">
        <v>39</v>
      </c>
      <c r="G3" s="6" t="s">
        <v>228</v>
      </c>
    </row>
    <row r="4" spans="1:7" x14ac:dyDescent="0.2">
      <c r="A4" t="s">
        <v>614</v>
      </c>
      <c r="B4" t="s">
        <v>182</v>
      </c>
      <c r="C4" t="s">
        <v>615</v>
      </c>
      <c r="D4" t="s">
        <v>616</v>
      </c>
      <c r="E4" t="s">
        <v>617</v>
      </c>
      <c r="F4" t="s">
        <v>59</v>
      </c>
      <c r="G4" t="s">
        <v>618</v>
      </c>
    </row>
    <row r="5" spans="1:7" x14ac:dyDescent="0.2">
      <c r="A5" t="s">
        <v>8</v>
      </c>
      <c r="B5" t="s">
        <v>182</v>
      </c>
      <c r="C5" t="s">
        <v>619</v>
      </c>
      <c r="D5" t="s">
        <v>620</v>
      </c>
      <c r="E5" t="s">
        <v>8</v>
      </c>
      <c r="F5" t="s">
        <v>59</v>
      </c>
      <c r="G5" t="s">
        <v>239</v>
      </c>
    </row>
    <row r="6" spans="1:7" x14ac:dyDescent="0.2">
      <c r="A6" t="s">
        <v>621</v>
      </c>
      <c r="B6" t="s">
        <v>182</v>
      </c>
      <c r="C6" t="s">
        <v>622</v>
      </c>
      <c r="D6" t="s">
        <v>623</v>
      </c>
      <c r="E6" t="s">
        <v>624</v>
      </c>
      <c r="F6" t="s">
        <v>59</v>
      </c>
      <c r="G6" t="s">
        <v>625</v>
      </c>
    </row>
    <row r="7" spans="1:7" x14ac:dyDescent="0.2">
      <c r="A7" t="s">
        <v>353</v>
      </c>
      <c r="B7" t="s">
        <v>182</v>
      </c>
      <c r="C7" t="s">
        <v>626</v>
      </c>
      <c r="D7" t="s">
        <v>627</v>
      </c>
      <c r="E7" t="s">
        <v>628</v>
      </c>
      <c r="F7" t="s">
        <v>59</v>
      </c>
      <c r="G7" t="s">
        <v>629</v>
      </c>
    </row>
    <row r="8" spans="1:7" x14ac:dyDescent="0.2">
      <c r="A8" t="s">
        <v>9</v>
      </c>
      <c r="B8" t="s">
        <v>182</v>
      </c>
      <c r="C8" t="s">
        <v>630</v>
      </c>
      <c r="D8" t="s">
        <v>631</v>
      </c>
      <c r="E8" t="s">
        <v>9</v>
      </c>
      <c r="F8" t="s">
        <v>59</v>
      </c>
      <c r="G8" t="s">
        <v>632</v>
      </c>
    </row>
    <row r="9" spans="1:7" x14ac:dyDescent="0.2">
      <c r="A9" t="s">
        <v>633</v>
      </c>
      <c r="B9" t="s">
        <v>188</v>
      </c>
      <c r="C9" t="s">
        <v>634</v>
      </c>
      <c r="D9" t="s">
        <v>191</v>
      </c>
      <c r="E9" t="s">
        <v>635</v>
      </c>
      <c r="F9" t="s">
        <v>201</v>
      </c>
      <c r="G9" t="s">
        <v>636</v>
      </c>
    </row>
    <row r="10" spans="1:7" x14ac:dyDescent="0.2">
      <c r="A10" t="s">
        <v>637</v>
      </c>
      <c r="B10" t="s">
        <v>188</v>
      </c>
      <c r="C10" t="s">
        <v>638</v>
      </c>
      <c r="D10" t="s">
        <v>639</v>
      </c>
      <c r="E10" t="s">
        <v>640</v>
      </c>
      <c r="F10" t="s">
        <v>201</v>
      </c>
      <c r="G10" t="s">
        <v>636</v>
      </c>
    </row>
    <row r="11" spans="1:7" x14ac:dyDescent="0.2">
      <c r="A11" t="s">
        <v>641</v>
      </c>
      <c r="B11" t="s">
        <v>188</v>
      </c>
      <c r="C11" t="s">
        <v>642</v>
      </c>
      <c r="D11" t="s">
        <v>168</v>
      </c>
      <c r="E11" t="s">
        <v>643</v>
      </c>
      <c r="F11" t="s">
        <v>201</v>
      </c>
      <c r="G11" t="s">
        <v>636</v>
      </c>
    </row>
    <row r="12" spans="1:7" x14ac:dyDescent="0.2">
      <c r="A12" t="s">
        <v>644</v>
      </c>
      <c r="B12" t="s">
        <v>182</v>
      </c>
      <c r="C12" t="s">
        <v>645</v>
      </c>
      <c r="D12" t="s">
        <v>639</v>
      </c>
      <c r="E12" t="s">
        <v>646</v>
      </c>
      <c r="F12" t="s">
        <v>59</v>
      </c>
      <c r="G12" t="s">
        <v>260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7"/>
  <sheetViews>
    <sheetView workbookViewId="0"/>
  </sheetViews>
  <sheetFormatPr defaultRowHeight="15" x14ac:dyDescent="0.2"/>
  <cols>
    <col min="1" max="1" width="33.8984375" style="38" customWidth="1"/>
    <col min="2" max="2" width="8.203125" style="38" customWidth="1"/>
    <col min="3" max="3" width="23.26953125" style="38" customWidth="1"/>
    <col min="4" max="4" width="17.484375" style="38" customWidth="1"/>
    <col min="5" max="5" width="16.8125" style="38" customWidth="1"/>
    <col min="6" max="6" width="38.0703125" style="38" customWidth="1"/>
  </cols>
  <sheetData>
    <row r="1" spans="1:6" ht="21" customHeight="1" x14ac:dyDescent="0.3">
      <c r="A1" s="5" t="s">
        <v>647</v>
      </c>
      <c r="B1" s="5"/>
      <c r="C1" s="5"/>
      <c r="D1" s="5"/>
      <c r="E1" s="5"/>
      <c r="F1" s="5"/>
    </row>
    <row r="3" spans="1:6" x14ac:dyDescent="0.2">
      <c r="A3" s="6" t="s">
        <v>648</v>
      </c>
      <c r="B3" s="6" t="s">
        <v>649</v>
      </c>
      <c r="C3" s="6" t="s">
        <v>650</v>
      </c>
      <c r="D3" s="6" t="s">
        <v>36</v>
      </c>
      <c r="E3" s="6" t="s">
        <v>651</v>
      </c>
      <c r="F3" s="6" t="s">
        <v>40</v>
      </c>
    </row>
    <row r="4" spans="1:6" x14ac:dyDescent="0.2">
      <c r="A4" t="s">
        <v>617</v>
      </c>
      <c r="B4" t="s">
        <v>179</v>
      </c>
      <c r="C4" t="s">
        <v>652</v>
      </c>
      <c r="D4" t="s">
        <v>653</v>
      </c>
      <c r="E4" t="s">
        <v>654</v>
      </c>
      <c r="F4" t="s">
        <v>655</v>
      </c>
    </row>
    <row r="5" spans="1:6" x14ac:dyDescent="0.2">
      <c r="A5" t="s">
        <v>8</v>
      </c>
      <c r="B5" t="s">
        <v>179</v>
      </c>
      <c r="C5" t="s">
        <v>229</v>
      </c>
      <c r="D5" t="s">
        <v>656</v>
      </c>
      <c r="E5" t="s">
        <v>657</v>
      </c>
      <c r="F5" t="s">
        <v>658</v>
      </c>
    </row>
    <row r="6" spans="1:6" x14ac:dyDescent="0.2">
      <c r="A6" t="s">
        <v>659</v>
      </c>
      <c r="B6" t="s">
        <v>179</v>
      </c>
      <c r="C6" t="s">
        <v>660</v>
      </c>
      <c r="D6" t="s">
        <v>661</v>
      </c>
      <c r="E6" t="s">
        <v>657</v>
      </c>
      <c r="F6" t="s">
        <v>662</v>
      </c>
    </row>
    <row r="7" spans="1:6" x14ac:dyDescent="0.2">
      <c r="A7" t="s">
        <v>624</v>
      </c>
      <c r="B7" t="s">
        <v>179</v>
      </c>
      <c r="C7" t="s">
        <v>663</v>
      </c>
      <c r="D7" t="s">
        <v>664</v>
      </c>
      <c r="E7" t="s">
        <v>665</v>
      </c>
      <c r="F7" t="s">
        <v>666</v>
      </c>
    </row>
    <row r="8" spans="1:6" x14ac:dyDescent="0.2">
      <c r="A8" t="s">
        <v>628</v>
      </c>
      <c r="B8" t="s">
        <v>179</v>
      </c>
      <c r="C8" t="s">
        <v>667</v>
      </c>
      <c r="D8" t="s">
        <v>668</v>
      </c>
      <c r="E8" t="s">
        <v>669</v>
      </c>
    </row>
    <row r="9" spans="1:6" x14ac:dyDescent="0.2">
      <c r="A9" t="s">
        <v>9</v>
      </c>
      <c r="B9" t="s">
        <v>179</v>
      </c>
      <c r="C9" t="s">
        <v>670</v>
      </c>
      <c r="D9" t="s">
        <v>671</v>
      </c>
      <c r="E9" t="s">
        <v>657</v>
      </c>
      <c r="F9" t="s">
        <v>672</v>
      </c>
    </row>
    <row r="10" spans="1:6" x14ac:dyDescent="0.2">
      <c r="A10" t="s">
        <v>673</v>
      </c>
      <c r="B10" t="s">
        <v>196</v>
      </c>
      <c r="C10" t="s">
        <v>674</v>
      </c>
      <c r="D10" t="s">
        <v>675</v>
      </c>
      <c r="E10" t="s">
        <v>676</v>
      </c>
      <c r="F10" t="s">
        <v>677</v>
      </c>
    </row>
    <row r="11" spans="1:6" x14ac:dyDescent="0.2">
      <c r="A11" t="s">
        <v>635</v>
      </c>
      <c r="B11" t="s">
        <v>196</v>
      </c>
      <c r="C11" t="s">
        <v>678</v>
      </c>
      <c r="D11" t="s">
        <v>679</v>
      </c>
      <c r="E11" t="s">
        <v>680</v>
      </c>
      <c r="F11" t="s">
        <v>681</v>
      </c>
    </row>
    <row r="12" spans="1:6" x14ac:dyDescent="0.2">
      <c r="A12" t="s">
        <v>640</v>
      </c>
      <c r="B12" t="s">
        <v>196</v>
      </c>
      <c r="C12" t="s">
        <v>682</v>
      </c>
      <c r="D12" t="s">
        <v>683</v>
      </c>
      <c r="E12" t="s">
        <v>684</v>
      </c>
      <c r="F12" t="s">
        <v>681</v>
      </c>
    </row>
    <row r="13" spans="1:6" x14ac:dyDescent="0.2">
      <c r="A13" t="s">
        <v>643</v>
      </c>
      <c r="B13" t="s">
        <v>196</v>
      </c>
      <c r="C13" t="s">
        <v>685</v>
      </c>
      <c r="D13" t="s">
        <v>686</v>
      </c>
      <c r="E13" t="s">
        <v>687</v>
      </c>
      <c r="F13" t="s">
        <v>681</v>
      </c>
    </row>
    <row r="14" spans="1:6" x14ac:dyDescent="0.2">
      <c r="A14" t="s">
        <v>688</v>
      </c>
      <c r="B14" t="s">
        <v>196</v>
      </c>
      <c r="C14" t="s">
        <v>689</v>
      </c>
      <c r="D14" t="s">
        <v>690</v>
      </c>
      <c r="E14" t="s">
        <v>691</v>
      </c>
      <c r="F14" t="s">
        <v>692</v>
      </c>
    </row>
    <row r="15" spans="1:6" x14ac:dyDescent="0.2">
      <c r="A15" t="s">
        <v>646</v>
      </c>
      <c r="B15" t="s">
        <v>179</v>
      </c>
      <c r="C15" t="s">
        <v>693</v>
      </c>
      <c r="D15" t="s">
        <v>694</v>
      </c>
      <c r="E15" t="s">
        <v>695</v>
      </c>
      <c r="F15" t="s">
        <v>696</v>
      </c>
    </row>
    <row r="16" spans="1:6" x14ac:dyDescent="0.2">
      <c r="A16" t="s">
        <v>697</v>
      </c>
      <c r="B16" t="s">
        <v>196</v>
      </c>
      <c r="C16" t="s">
        <v>698</v>
      </c>
      <c r="D16" t="s">
        <v>699</v>
      </c>
      <c r="E16" t="s">
        <v>700</v>
      </c>
    </row>
    <row r="17" spans="1:5" x14ac:dyDescent="0.2">
      <c r="A17" t="s">
        <v>39</v>
      </c>
      <c r="B17" t="s">
        <v>179</v>
      </c>
      <c r="C17" t="s">
        <v>180</v>
      </c>
      <c r="D17" t="s">
        <v>701</v>
      </c>
      <c r="E17" t="s">
        <v>702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/>
  </sheetViews>
  <sheetFormatPr defaultRowHeight="15" x14ac:dyDescent="0.2"/>
  <cols>
    <col min="1" max="1" width="36.3203125" style="38" customWidth="1"/>
    <col min="2" max="2" width="34.4375" style="38" customWidth="1"/>
    <col min="3" max="3" width="22.05859375" style="38" customWidth="1"/>
    <col min="4" max="4" width="26.6328125" style="38" customWidth="1"/>
    <col min="5" max="5" width="16.41015625" style="38" customWidth="1"/>
    <col min="6" max="6" width="6.859375" style="38" customWidth="1"/>
    <col min="7" max="7" width="6.58984375" style="38" customWidth="1"/>
  </cols>
  <sheetData>
    <row r="1" spans="1:7" ht="21" customHeight="1" x14ac:dyDescent="0.3">
      <c r="A1" s="7" t="s">
        <v>703</v>
      </c>
      <c r="B1" s="7"/>
      <c r="C1" s="7"/>
      <c r="D1" s="7"/>
      <c r="E1" s="7"/>
      <c r="F1" s="7"/>
      <c r="G1" s="7"/>
    </row>
    <row r="3" spans="1:7" x14ac:dyDescent="0.2">
      <c r="A3" s="8" t="s">
        <v>142</v>
      </c>
      <c r="B3" s="8" t="s">
        <v>704</v>
      </c>
      <c r="C3" s="8" t="s">
        <v>705</v>
      </c>
      <c r="D3" s="8" t="s">
        <v>706</v>
      </c>
      <c r="E3" s="8" t="s">
        <v>707</v>
      </c>
      <c r="F3" s="8" t="s">
        <v>262</v>
      </c>
      <c r="G3" s="8" t="s">
        <v>39</v>
      </c>
    </row>
    <row r="4" spans="1:7" x14ac:dyDescent="0.2">
      <c r="A4" t="s">
        <v>708</v>
      </c>
      <c r="B4" t="s">
        <v>709</v>
      </c>
      <c r="C4" t="s">
        <v>710</v>
      </c>
      <c r="D4" t="s">
        <v>711</v>
      </c>
      <c r="E4" t="s">
        <v>521</v>
      </c>
      <c r="F4" t="s">
        <v>267</v>
      </c>
      <c r="G4" t="s">
        <v>180</v>
      </c>
    </row>
    <row r="5" spans="1:7" x14ac:dyDescent="0.2">
      <c r="A5" t="s">
        <v>712</v>
      </c>
      <c r="B5" t="s">
        <v>713</v>
      </c>
      <c r="C5" t="s">
        <v>714</v>
      </c>
      <c r="D5" t="s">
        <v>715</v>
      </c>
      <c r="E5" t="s">
        <v>716</v>
      </c>
      <c r="F5" t="s">
        <v>267</v>
      </c>
      <c r="G5" t="s">
        <v>254</v>
      </c>
    </row>
    <row r="6" spans="1:7" x14ac:dyDescent="0.2">
      <c r="A6" t="s">
        <v>717</v>
      </c>
      <c r="B6" t="s">
        <v>718</v>
      </c>
      <c r="C6" t="s">
        <v>719</v>
      </c>
      <c r="D6" t="s">
        <v>720</v>
      </c>
      <c r="E6" t="s">
        <v>721</v>
      </c>
      <c r="F6" t="s">
        <v>267</v>
      </c>
      <c r="G6" t="s">
        <v>201</v>
      </c>
    </row>
    <row r="7" spans="1:7" x14ac:dyDescent="0.2">
      <c r="A7" t="s">
        <v>722</v>
      </c>
      <c r="B7" t="s">
        <v>723</v>
      </c>
      <c r="C7" t="s">
        <v>724</v>
      </c>
      <c r="D7" t="s">
        <v>725</v>
      </c>
      <c r="E7" t="s">
        <v>460</v>
      </c>
      <c r="F7" t="s">
        <v>267</v>
      </c>
      <c r="G7" t="s">
        <v>201</v>
      </c>
    </row>
    <row r="8" spans="1:7" x14ac:dyDescent="0.2">
      <c r="A8" t="s">
        <v>726</v>
      </c>
      <c r="B8" t="s">
        <v>727</v>
      </c>
      <c r="C8" t="s">
        <v>728</v>
      </c>
      <c r="D8" t="s">
        <v>729</v>
      </c>
      <c r="E8" t="s">
        <v>730</v>
      </c>
      <c r="F8" t="s">
        <v>267</v>
      </c>
      <c r="G8" t="s">
        <v>180</v>
      </c>
    </row>
    <row r="9" spans="1:7" x14ac:dyDescent="0.2">
      <c r="A9" t="s">
        <v>731</v>
      </c>
      <c r="B9" t="s">
        <v>732</v>
      </c>
      <c r="C9" t="s">
        <v>733</v>
      </c>
      <c r="D9" t="s">
        <v>734</v>
      </c>
      <c r="E9" t="s">
        <v>554</v>
      </c>
      <c r="F9" t="s">
        <v>272</v>
      </c>
      <c r="G9" t="s">
        <v>201</v>
      </c>
    </row>
    <row r="10" spans="1:7" x14ac:dyDescent="0.2">
      <c r="A10" t="s">
        <v>735</v>
      </c>
      <c r="B10" t="s">
        <v>736</v>
      </c>
      <c r="C10" t="s">
        <v>737</v>
      </c>
      <c r="D10" t="s">
        <v>738</v>
      </c>
      <c r="E10" t="s">
        <v>739</v>
      </c>
      <c r="F10" t="s">
        <v>267</v>
      </c>
      <c r="G10" t="s">
        <v>201</v>
      </c>
    </row>
    <row r="11" spans="1:7" x14ac:dyDescent="0.2">
      <c r="A11" t="s">
        <v>740</v>
      </c>
      <c r="B11" t="s">
        <v>741</v>
      </c>
      <c r="C11" t="s">
        <v>742</v>
      </c>
      <c r="D11" t="s">
        <v>743</v>
      </c>
      <c r="E11" t="s">
        <v>744</v>
      </c>
      <c r="F11" t="s">
        <v>267</v>
      </c>
      <c r="G11" t="s">
        <v>207</v>
      </c>
    </row>
    <row r="12" spans="1:7" x14ac:dyDescent="0.2">
      <c r="A12" t="s">
        <v>745</v>
      </c>
      <c r="B12" t="s">
        <v>746</v>
      </c>
      <c r="C12" t="s">
        <v>747</v>
      </c>
      <c r="D12" t="s">
        <v>748</v>
      </c>
      <c r="E12" t="s">
        <v>749</v>
      </c>
      <c r="F12" t="s">
        <v>267</v>
      </c>
      <c r="G12" t="s">
        <v>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1"/>
  <sheetViews>
    <sheetView workbookViewId="0"/>
  </sheetViews>
  <sheetFormatPr defaultRowHeight="15" x14ac:dyDescent="0.2"/>
  <cols>
    <col min="1" max="1" width="36.3203125" style="38" customWidth="1"/>
    <col min="2" max="2" width="7.93359375" style="38" customWidth="1"/>
    <col min="3" max="3" width="22.734375" style="38" customWidth="1"/>
    <col min="4" max="4" width="23.13671875" style="38" customWidth="1"/>
    <col min="5" max="5" width="17.62109375" style="38" customWidth="1"/>
    <col min="6" max="6" width="23.9453125" style="38" customWidth="1"/>
  </cols>
  <sheetData>
    <row r="1" spans="1:6" ht="21" customHeight="1" x14ac:dyDescent="0.3">
      <c r="A1" s="7" t="s">
        <v>750</v>
      </c>
      <c r="B1" s="7"/>
      <c r="C1" s="7"/>
      <c r="D1" s="7"/>
      <c r="E1" s="7"/>
      <c r="F1" s="7"/>
    </row>
    <row r="3" spans="1:6" x14ac:dyDescent="0.2">
      <c r="A3" s="8" t="s">
        <v>751</v>
      </c>
      <c r="B3" s="8" t="s">
        <v>752</v>
      </c>
      <c r="C3" s="8" t="s">
        <v>753</v>
      </c>
      <c r="D3" s="8" t="s">
        <v>36</v>
      </c>
      <c r="E3" s="8" t="s">
        <v>754</v>
      </c>
      <c r="F3" s="8" t="s">
        <v>40</v>
      </c>
    </row>
    <row r="4" spans="1:6" x14ac:dyDescent="0.2">
      <c r="A4" t="s">
        <v>755</v>
      </c>
      <c r="B4" t="s">
        <v>179</v>
      </c>
      <c r="C4" t="s">
        <v>756</v>
      </c>
      <c r="D4" t="s">
        <v>757</v>
      </c>
      <c r="E4" t="s">
        <v>730</v>
      </c>
      <c r="F4" t="s">
        <v>758</v>
      </c>
    </row>
    <row r="5" spans="1:6" x14ac:dyDescent="0.2">
      <c r="A5" t="s">
        <v>182</v>
      </c>
      <c r="B5" t="s">
        <v>179</v>
      </c>
      <c r="C5" t="s">
        <v>759</v>
      </c>
      <c r="D5" t="s">
        <v>760</v>
      </c>
      <c r="E5" t="s">
        <v>477</v>
      </c>
      <c r="F5" t="s">
        <v>761</v>
      </c>
    </row>
    <row r="6" spans="1:6" x14ac:dyDescent="0.2">
      <c r="A6" t="s">
        <v>188</v>
      </c>
      <c r="B6" t="s">
        <v>179</v>
      </c>
      <c r="C6" t="s">
        <v>762</v>
      </c>
      <c r="D6" t="s">
        <v>763</v>
      </c>
      <c r="E6" t="s">
        <v>477</v>
      </c>
      <c r="F6" t="s">
        <v>764</v>
      </c>
    </row>
    <row r="7" spans="1:6" x14ac:dyDescent="0.2">
      <c r="A7" t="s">
        <v>198</v>
      </c>
      <c r="B7" t="s">
        <v>765</v>
      </c>
      <c r="C7" t="s">
        <v>766</v>
      </c>
      <c r="D7" t="s">
        <v>767</v>
      </c>
      <c r="E7" t="s">
        <v>460</v>
      </c>
      <c r="F7" t="s">
        <v>768</v>
      </c>
    </row>
    <row r="8" spans="1:6" x14ac:dyDescent="0.2">
      <c r="A8" t="s">
        <v>193</v>
      </c>
      <c r="B8" t="s">
        <v>84</v>
      </c>
      <c r="C8" t="s">
        <v>769</v>
      </c>
      <c r="D8" t="s">
        <v>770</v>
      </c>
      <c r="E8" t="s">
        <v>771</v>
      </c>
      <c r="F8" t="s">
        <v>772</v>
      </c>
    </row>
    <row r="9" spans="1:6" x14ac:dyDescent="0.2">
      <c r="A9" t="s">
        <v>467</v>
      </c>
      <c r="B9" t="s">
        <v>773</v>
      </c>
      <c r="C9" t="s">
        <v>774</v>
      </c>
      <c r="D9" t="s">
        <v>775</v>
      </c>
      <c r="E9" t="s">
        <v>470</v>
      </c>
      <c r="F9" t="s">
        <v>776</v>
      </c>
    </row>
    <row r="10" spans="1:6" x14ac:dyDescent="0.2">
      <c r="A10" t="s">
        <v>777</v>
      </c>
      <c r="B10" t="s">
        <v>179</v>
      </c>
      <c r="C10" t="s">
        <v>778</v>
      </c>
      <c r="D10" t="s">
        <v>779</v>
      </c>
      <c r="E10" t="s">
        <v>730</v>
      </c>
      <c r="F10" t="s">
        <v>780</v>
      </c>
    </row>
    <row r="11" spans="1:6" x14ac:dyDescent="0.2">
      <c r="A11" t="s">
        <v>781</v>
      </c>
      <c r="B11" t="s">
        <v>765</v>
      </c>
      <c r="C11" t="s">
        <v>782</v>
      </c>
      <c r="D11" t="s">
        <v>783</v>
      </c>
      <c r="E11" t="s">
        <v>784</v>
      </c>
      <c r="F11" t="s">
        <v>785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workbookViewId="0"/>
  </sheetViews>
  <sheetFormatPr defaultRowHeight="15" x14ac:dyDescent="0.2"/>
  <sheetData>
    <row r="1" spans="1:5" ht="21" customHeight="1" x14ac:dyDescent="0.3">
      <c r="A1" s="42" t="s">
        <v>786</v>
      </c>
    </row>
    <row r="3" spans="1:5" x14ac:dyDescent="0.2">
      <c r="A3" t="s">
        <v>787</v>
      </c>
      <c r="B3" t="s">
        <v>349</v>
      </c>
      <c r="C3" t="s">
        <v>36</v>
      </c>
      <c r="D3" t="s">
        <v>788</v>
      </c>
      <c r="E3" t="s">
        <v>39</v>
      </c>
    </row>
    <row r="4" spans="1:5" x14ac:dyDescent="0.2">
      <c r="A4" t="s">
        <v>789</v>
      </c>
      <c r="B4" t="s">
        <v>279</v>
      </c>
      <c r="C4" t="s">
        <v>790</v>
      </c>
      <c r="D4" t="s">
        <v>188</v>
      </c>
      <c r="E4" t="s">
        <v>59</v>
      </c>
    </row>
    <row r="5" spans="1:5" x14ac:dyDescent="0.2">
      <c r="A5" t="s">
        <v>791</v>
      </c>
      <c r="B5" t="s">
        <v>279</v>
      </c>
      <c r="C5" t="s">
        <v>792</v>
      </c>
      <c r="D5" t="s">
        <v>188</v>
      </c>
      <c r="E5" t="s">
        <v>59</v>
      </c>
    </row>
    <row r="6" spans="1:5" x14ac:dyDescent="0.2">
      <c r="A6" t="s">
        <v>793</v>
      </c>
      <c r="B6" t="s">
        <v>279</v>
      </c>
      <c r="C6" t="s">
        <v>794</v>
      </c>
      <c r="D6" t="s">
        <v>188</v>
      </c>
      <c r="E6" t="s">
        <v>59</v>
      </c>
    </row>
    <row r="7" spans="1:5" x14ac:dyDescent="0.2">
      <c r="A7" t="s">
        <v>795</v>
      </c>
      <c r="B7" t="s">
        <v>279</v>
      </c>
      <c r="C7" t="s">
        <v>796</v>
      </c>
      <c r="D7" t="s">
        <v>188</v>
      </c>
      <c r="E7" t="s">
        <v>59</v>
      </c>
    </row>
    <row r="8" spans="1:5" x14ac:dyDescent="0.2">
      <c r="A8" t="s">
        <v>797</v>
      </c>
      <c r="B8" t="s">
        <v>279</v>
      </c>
      <c r="C8" t="s">
        <v>798</v>
      </c>
      <c r="D8" t="s">
        <v>188</v>
      </c>
      <c r="E8" t="s">
        <v>201</v>
      </c>
    </row>
    <row r="9" spans="1:5" x14ac:dyDescent="0.2">
      <c r="A9" t="s">
        <v>799</v>
      </c>
      <c r="B9" t="s">
        <v>279</v>
      </c>
      <c r="C9" t="s">
        <v>800</v>
      </c>
      <c r="D9" t="s">
        <v>188</v>
      </c>
      <c r="E9" t="s">
        <v>201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"/>
  <sheetViews>
    <sheetView workbookViewId="0"/>
  </sheetViews>
  <sheetFormatPr defaultRowHeight="15" x14ac:dyDescent="0.2"/>
  <sheetData>
    <row r="1" spans="1:5" ht="21" customHeight="1" x14ac:dyDescent="0.3">
      <c r="A1" s="42" t="s">
        <v>801</v>
      </c>
    </row>
    <row r="3" spans="1:5" x14ac:dyDescent="0.2">
      <c r="A3" t="s">
        <v>802</v>
      </c>
      <c r="B3" t="s">
        <v>349</v>
      </c>
      <c r="C3" t="s">
        <v>36</v>
      </c>
      <c r="D3" t="s">
        <v>788</v>
      </c>
      <c r="E3" t="s">
        <v>39</v>
      </c>
    </row>
    <row r="4" spans="1:5" x14ac:dyDescent="0.2">
      <c r="A4" t="s">
        <v>351</v>
      </c>
      <c r="B4" t="s">
        <v>151</v>
      </c>
      <c r="C4" t="s">
        <v>803</v>
      </c>
      <c r="D4" t="s">
        <v>198</v>
      </c>
      <c r="E4" t="s">
        <v>59</v>
      </c>
    </row>
    <row r="5" spans="1:5" x14ac:dyDescent="0.2">
      <c r="A5" t="s">
        <v>804</v>
      </c>
      <c r="B5" t="s">
        <v>151</v>
      </c>
      <c r="C5" t="s">
        <v>805</v>
      </c>
      <c r="D5" t="s">
        <v>198</v>
      </c>
      <c r="E5" t="s">
        <v>59</v>
      </c>
    </row>
    <row r="6" spans="1:5" x14ac:dyDescent="0.2">
      <c r="A6" t="s">
        <v>368</v>
      </c>
      <c r="B6" t="s">
        <v>151</v>
      </c>
      <c r="C6" t="s">
        <v>806</v>
      </c>
      <c r="D6" t="s">
        <v>198</v>
      </c>
      <c r="E6" t="s">
        <v>59</v>
      </c>
    </row>
    <row r="7" spans="1:5" x14ac:dyDescent="0.2">
      <c r="A7" t="s">
        <v>807</v>
      </c>
      <c r="B7" t="s">
        <v>279</v>
      </c>
      <c r="C7" t="s">
        <v>808</v>
      </c>
      <c r="D7" t="s">
        <v>198</v>
      </c>
      <c r="E7" t="s">
        <v>59</v>
      </c>
    </row>
    <row r="8" spans="1:5" x14ac:dyDescent="0.2">
      <c r="A8" t="s">
        <v>809</v>
      </c>
      <c r="B8" t="s">
        <v>279</v>
      </c>
      <c r="C8" t="s">
        <v>810</v>
      </c>
      <c r="D8" t="s">
        <v>198</v>
      </c>
      <c r="E8" t="s">
        <v>59</v>
      </c>
    </row>
    <row r="9" spans="1:5" x14ac:dyDescent="0.2">
      <c r="A9" t="s">
        <v>811</v>
      </c>
      <c r="B9" t="s">
        <v>176</v>
      </c>
      <c r="C9" t="s">
        <v>812</v>
      </c>
      <c r="D9" t="s">
        <v>198</v>
      </c>
      <c r="E9" t="s">
        <v>201</v>
      </c>
    </row>
    <row r="10" spans="1:5" x14ac:dyDescent="0.2">
      <c r="A10" t="s">
        <v>813</v>
      </c>
      <c r="B10" t="s">
        <v>279</v>
      </c>
      <c r="C10" t="s">
        <v>814</v>
      </c>
      <c r="D10" t="s">
        <v>198</v>
      </c>
      <c r="E10" t="s">
        <v>201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2"/>
  <sheetViews>
    <sheetView workbookViewId="0"/>
  </sheetViews>
  <sheetFormatPr defaultRowHeight="15" x14ac:dyDescent="0.2"/>
  <sheetData>
    <row r="1" spans="1:4" ht="21" customHeight="1" x14ac:dyDescent="0.3">
      <c r="A1" s="42" t="s">
        <v>815</v>
      </c>
    </row>
    <row r="3" spans="1:4" x14ac:dyDescent="0.2">
      <c r="A3" t="s">
        <v>173</v>
      </c>
      <c r="B3" t="s">
        <v>816</v>
      </c>
      <c r="C3" t="s">
        <v>817</v>
      </c>
      <c r="D3" t="s">
        <v>818</v>
      </c>
    </row>
    <row r="4" spans="1:4" x14ac:dyDescent="0.2">
      <c r="A4" t="s">
        <v>176</v>
      </c>
      <c r="B4" t="s">
        <v>757</v>
      </c>
      <c r="C4" t="s">
        <v>178</v>
      </c>
      <c r="D4" t="s">
        <v>180</v>
      </c>
    </row>
    <row r="5" spans="1:4" x14ac:dyDescent="0.2">
      <c r="A5" t="s">
        <v>182</v>
      </c>
      <c r="B5" t="s">
        <v>819</v>
      </c>
      <c r="C5" t="s">
        <v>759</v>
      </c>
      <c r="D5" t="s">
        <v>820</v>
      </c>
    </row>
    <row r="6" spans="1:4" x14ac:dyDescent="0.2">
      <c r="A6" t="s">
        <v>279</v>
      </c>
      <c r="B6" t="s">
        <v>821</v>
      </c>
      <c r="C6" t="s">
        <v>822</v>
      </c>
      <c r="D6" t="s">
        <v>201</v>
      </c>
    </row>
    <row r="7" spans="1:4" x14ac:dyDescent="0.2">
      <c r="A7" t="s">
        <v>198</v>
      </c>
      <c r="B7" t="s">
        <v>823</v>
      </c>
      <c r="C7" t="s">
        <v>824</v>
      </c>
      <c r="D7" t="s">
        <v>201</v>
      </c>
    </row>
    <row r="8" spans="1:4" x14ac:dyDescent="0.2">
      <c r="A8" t="s">
        <v>458</v>
      </c>
      <c r="B8" t="s">
        <v>825</v>
      </c>
      <c r="C8" t="s">
        <v>826</v>
      </c>
      <c r="D8" t="s">
        <v>201</v>
      </c>
    </row>
    <row r="10" spans="1:4" x14ac:dyDescent="0.2">
      <c r="A10" t="s">
        <v>182</v>
      </c>
      <c r="B10" t="s">
        <v>819</v>
      </c>
      <c r="C10" t="s">
        <v>338</v>
      </c>
      <c r="D10" t="s">
        <v>337</v>
      </c>
    </row>
    <row r="12" spans="1:4" x14ac:dyDescent="0.2">
      <c r="A12" t="s">
        <v>279</v>
      </c>
      <c r="B12" t="s">
        <v>827</v>
      </c>
      <c r="C12" t="s">
        <v>344</v>
      </c>
      <c r="D12" t="s">
        <v>337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7"/>
  <sheetViews>
    <sheetView workbookViewId="0"/>
  </sheetViews>
  <sheetFormatPr defaultRowHeight="15" x14ac:dyDescent="0.2"/>
  <sheetData>
    <row r="1" spans="1:1" ht="21" customHeight="1" x14ac:dyDescent="0.3">
      <c r="A1" s="42" t="s">
        <v>828</v>
      </c>
    </row>
    <row r="2" spans="1:1" x14ac:dyDescent="0.2">
      <c r="A2" t="s">
        <v>829</v>
      </c>
    </row>
    <row r="3" spans="1:1" x14ac:dyDescent="0.2">
      <c r="A3" t="s">
        <v>830</v>
      </c>
    </row>
    <row r="4" spans="1:1" x14ac:dyDescent="0.2">
      <c r="A4" t="s">
        <v>831</v>
      </c>
    </row>
    <row r="5" spans="1:1" x14ac:dyDescent="0.2">
      <c r="A5" t="s">
        <v>151</v>
      </c>
    </row>
    <row r="6" spans="1:1" x14ac:dyDescent="0.2">
      <c r="A6" t="s">
        <v>832</v>
      </c>
    </row>
    <row r="7" spans="1:1" x14ac:dyDescent="0.2">
      <c r="A7" t="s">
        <v>833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9"/>
  <sheetViews>
    <sheetView workbookViewId="0"/>
  </sheetViews>
  <sheetFormatPr defaultRowHeight="15" x14ac:dyDescent="0.2"/>
  <sheetData>
    <row r="1" spans="1:1" ht="21" customHeight="1" x14ac:dyDescent="0.3">
      <c r="A1" s="42" t="s">
        <v>834</v>
      </c>
    </row>
    <row r="2" spans="1:1" x14ac:dyDescent="0.2">
      <c r="A2" t="s">
        <v>229</v>
      </c>
    </row>
    <row r="3" spans="1:1" x14ac:dyDescent="0.2">
      <c r="A3" t="s">
        <v>235</v>
      </c>
    </row>
    <row r="4" spans="1:1" x14ac:dyDescent="0.2">
      <c r="A4" t="s">
        <v>241</v>
      </c>
    </row>
    <row r="5" spans="1:1" x14ac:dyDescent="0.2">
      <c r="A5" t="s">
        <v>835</v>
      </c>
    </row>
    <row r="6" spans="1:1" x14ac:dyDescent="0.2">
      <c r="A6" t="s">
        <v>65</v>
      </c>
    </row>
    <row r="7" spans="1:1" x14ac:dyDescent="0.2">
      <c r="A7" t="s">
        <v>247</v>
      </c>
    </row>
    <row r="8" spans="1:1" x14ac:dyDescent="0.2">
      <c r="A8" t="s">
        <v>836</v>
      </c>
    </row>
    <row r="9" spans="1:1" x14ac:dyDescent="0.2">
      <c r="A9" t="s">
        <v>191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0"/>
  <sheetViews>
    <sheetView workbookViewId="0"/>
  </sheetViews>
  <sheetFormatPr defaultRowHeight="15" x14ac:dyDescent="0.2"/>
  <sheetData>
    <row r="1" spans="1:3" ht="21" customHeight="1" x14ac:dyDescent="0.3">
      <c r="A1" s="42" t="s">
        <v>193</v>
      </c>
    </row>
    <row r="2" spans="1:3" x14ac:dyDescent="0.2">
      <c r="A2" t="s">
        <v>112</v>
      </c>
      <c r="B2" t="s">
        <v>837</v>
      </c>
      <c r="C2" t="s">
        <v>838</v>
      </c>
    </row>
    <row r="3" spans="1:3" x14ac:dyDescent="0.2">
      <c r="A3" t="s">
        <v>839</v>
      </c>
      <c r="B3" t="s">
        <v>840</v>
      </c>
      <c r="C3" t="s">
        <v>841</v>
      </c>
    </row>
    <row r="4" spans="1:3" x14ac:dyDescent="0.2">
      <c r="A4" t="s">
        <v>842</v>
      </c>
      <c r="B4" t="s">
        <v>843</v>
      </c>
      <c r="C4" t="s">
        <v>844</v>
      </c>
    </row>
    <row r="5" spans="1:3" x14ac:dyDescent="0.2">
      <c r="A5" t="s">
        <v>845</v>
      </c>
      <c r="B5" t="s">
        <v>846</v>
      </c>
      <c r="C5" t="s">
        <v>847</v>
      </c>
    </row>
    <row r="6" spans="1:3" x14ac:dyDescent="0.2">
      <c r="A6" t="s">
        <v>848</v>
      </c>
      <c r="B6" t="s">
        <v>849</v>
      </c>
      <c r="C6" t="s">
        <v>850</v>
      </c>
    </row>
    <row r="7" spans="1:3" x14ac:dyDescent="0.2">
      <c r="A7" t="s">
        <v>851</v>
      </c>
      <c r="B7" t="s">
        <v>852</v>
      </c>
      <c r="C7" t="s">
        <v>853</v>
      </c>
    </row>
    <row r="8" spans="1:3" x14ac:dyDescent="0.2">
      <c r="A8" t="s">
        <v>854</v>
      </c>
      <c r="B8" t="s">
        <v>855</v>
      </c>
      <c r="C8" t="s">
        <v>856</v>
      </c>
    </row>
    <row r="9" spans="1:3" x14ac:dyDescent="0.2">
      <c r="A9" t="s">
        <v>857</v>
      </c>
      <c r="B9" t="s">
        <v>858</v>
      </c>
      <c r="C9" t="s">
        <v>859</v>
      </c>
    </row>
    <row r="10" spans="1:3" x14ac:dyDescent="0.2">
      <c r="A10" t="s">
        <v>860</v>
      </c>
      <c r="B10" t="s">
        <v>861</v>
      </c>
      <c r="C10" t="s">
        <v>862</v>
      </c>
    </row>
    <row r="11" spans="1:3" x14ac:dyDescent="0.2">
      <c r="A11" t="s">
        <v>863</v>
      </c>
      <c r="B11" t="s">
        <v>864</v>
      </c>
      <c r="C11" t="s">
        <v>865</v>
      </c>
    </row>
    <row r="12" spans="1:3" x14ac:dyDescent="0.2">
      <c r="A12" t="s">
        <v>866</v>
      </c>
      <c r="B12" t="s">
        <v>867</v>
      </c>
      <c r="C12" t="s">
        <v>868</v>
      </c>
    </row>
    <row r="13" spans="1:3" x14ac:dyDescent="0.2">
      <c r="A13" t="s">
        <v>869</v>
      </c>
      <c r="B13" t="s">
        <v>870</v>
      </c>
      <c r="C13" t="s">
        <v>871</v>
      </c>
    </row>
    <row r="14" spans="1:3" x14ac:dyDescent="0.2">
      <c r="A14" t="s">
        <v>872</v>
      </c>
      <c r="B14" t="s">
        <v>873</v>
      </c>
      <c r="C14" t="s">
        <v>874</v>
      </c>
    </row>
    <row r="15" spans="1:3" x14ac:dyDescent="0.2">
      <c r="A15" t="s">
        <v>875</v>
      </c>
      <c r="B15" t="s">
        <v>876</v>
      </c>
      <c r="C15" t="s">
        <v>877</v>
      </c>
    </row>
    <row r="16" spans="1:3" x14ac:dyDescent="0.2">
      <c r="A16" t="s">
        <v>878</v>
      </c>
      <c r="B16" t="s">
        <v>879</v>
      </c>
      <c r="C16" t="s">
        <v>856</v>
      </c>
    </row>
    <row r="17" spans="1:4" x14ac:dyDescent="0.2">
      <c r="A17" t="s">
        <v>880</v>
      </c>
      <c r="B17" t="s">
        <v>881</v>
      </c>
      <c r="C17" t="s">
        <v>882</v>
      </c>
    </row>
    <row r="18" spans="1:4" x14ac:dyDescent="0.2">
      <c r="A18" t="s">
        <v>883</v>
      </c>
      <c r="B18" t="s">
        <v>884</v>
      </c>
      <c r="C18" t="s">
        <v>885</v>
      </c>
    </row>
    <row r="19" spans="1:4" x14ac:dyDescent="0.2">
      <c r="A19" t="s">
        <v>886</v>
      </c>
      <c r="B19" t="s">
        <v>887</v>
      </c>
      <c r="C19" t="s">
        <v>888</v>
      </c>
    </row>
    <row r="20" spans="1:4" x14ac:dyDescent="0.2">
      <c r="A20" t="s">
        <v>889</v>
      </c>
      <c r="B20" t="s">
        <v>890</v>
      </c>
      <c r="C20" t="s">
        <v>891</v>
      </c>
    </row>
    <row r="21" spans="1:4" x14ac:dyDescent="0.2">
      <c r="A21" t="s">
        <v>892</v>
      </c>
      <c r="B21" t="s">
        <v>893</v>
      </c>
      <c r="C21" t="s">
        <v>894</v>
      </c>
    </row>
    <row r="22" spans="1:4" x14ac:dyDescent="0.2">
      <c r="A22" t="s">
        <v>895</v>
      </c>
      <c r="B22" t="s">
        <v>896</v>
      </c>
      <c r="C22" t="s">
        <v>897</v>
      </c>
    </row>
    <row r="23" spans="1:4" x14ac:dyDescent="0.2">
      <c r="A23" t="s">
        <v>898</v>
      </c>
      <c r="B23" t="s">
        <v>899</v>
      </c>
      <c r="C23" t="s">
        <v>900</v>
      </c>
    </row>
    <row r="24" spans="1:4" x14ac:dyDescent="0.2">
      <c r="A24" t="s">
        <v>901</v>
      </c>
      <c r="B24" t="s">
        <v>902</v>
      </c>
      <c r="C24" t="s">
        <v>903</v>
      </c>
    </row>
    <row r="25" spans="1:4" x14ac:dyDescent="0.2">
      <c r="A25" t="s">
        <v>904</v>
      </c>
      <c r="B25" t="s">
        <v>905</v>
      </c>
      <c r="C25" t="s">
        <v>906</v>
      </c>
    </row>
    <row r="26" spans="1:4" x14ac:dyDescent="0.2">
      <c r="A26" t="s">
        <v>907</v>
      </c>
      <c r="B26" t="s">
        <v>908</v>
      </c>
      <c r="C26" t="s">
        <v>909</v>
      </c>
    </row>
    <row r="27" spans="1:4" x14ac:dyDescent="0.2">
      <c r="A27" t="s">
        <v>910</v>
      </c>
      <c r="B27" t="s">
        <v>434</v>
      </c>
      <c r="C27" t="s">
        <v>911</v>
      </c>
    </row>
    <row r="28" spans="1:4" x14ac:dyDescent="0.2">
      <c r="A28" t="s">
        <v>912</v>
      </c>
      <c r="B28" t="s">
        <v>913</v>
      </c>
      <c r="C28" t="s">
        <v>914</v>
      </c>
      <c r="D28" t="s">
        <v>915</v>
      </c>
    </row>
    <row r="29" spans="1:4" x14ac:dyDescent="0.2">
      <c r="A29" t="s">
        <v>916</v>
      </c>
      <c r="B29" t="s">
        <v>917</v>
      </c>
      <c r="C29" t="s">
        <v>914</v>
      </c>
      <c r="D29" t="s">
        <v>918</v>
      </c>
    </row>
    <row r="30" spans="1:4" x14ac:dyDescent="0.2">
      <c r="A30" t="s">
        <v>919</v>
      </c>
      <c r="B30" t="s">
        <v>920</v>
      </c>
      <c r="C30" t="s">
        <v>914</v>
      </c>
      <c r="D30" t="s">
        <v>921</v>
      </c>
    </row>
    <row r="31" spans="1:4" x14ac:dyDescent="0.2">
      <c r="A31" t="s">
        <v>922</v>
      </c>
      <c r="B31" t="s">
        <v>923</v>
      </c>
      <c r="C31" t="s">
        <v>914</v>
      </c>
      <c r="D31" t="s">
        <v>924</v>
      </c>
    </row>
    <row r="32" spans="1:4" x14ac:dyDescent="0.2">
      <c r="A32" t="s">
        <v>925</v>
      </c>
      <c r="B32" t="s">
        <v>926</v>
      </c>
      <c r="C32" t="s">
        <v>914</v>
      </c>
      <c r="D32" t="s">
        <v>927</v>
      </c>
    </row>
    <row r="33" spans="1:4" x14ac:dyDescent="0.2">
      <c r="A33" t="s">
        <v>928</v>
      </c>
      <c r="B33" t="s">
        <v>929</v>
      </c>
      <c r="C33" t="s">
        <v>914</v>
      </c>
      <c r="D33" t="s">
        <v>930</v>
      </c>
    </row>
    <row r="34" spans="1:4" x14ac:dyDescent="0.2">
      <c r="A34" t="s">
        <v>931</v>
      </c>
      <c r="B34" t="s">
        <v>932</v>
      </c>
      <c r="C34" t="s">
        <v>914</v>
      </c>
      <c r="D34" t="s">
        <v>933</v>
      </c>
    </row>
    <row r="35" spans="1:4" x14ac:dyDescent="0.2">
      <c r="A35" t="s">
        <v>934</v>
      </c>
      <c r="B35" t="s">
        <v>935</v>
      </c>
      <c r="C35" t="s">
        <v>914</v>
      </c>
      <c r="D35" t="s">
        <v>936</v>
      </c>
    </row>
    <row r="36" spans="1:4" x14ac:dyDescent="0.2">
      <c r="A36" t="s">
        <v>937</v>
      </c>
      <c r="B36" t="s">
        <v>938</v>
      </c>
      <c r="C36" t="s">
        <v>914</v>
      </c>
      <c r="D36" t="s">
        <v>939</v>
      </c>
    </row>
    <row r="37" spans="1:4" x14ac:dyDescent="0.2">
      <c r="A37" t="s">
        <v>940</v>
      </c>
      <c r="B37" t="s">
        <v>941</v>
      </c>
      <c r="C37" t="s">
        <v>914</v>
      </c>
      <c r="D37" t="s">
        <v>942</v>
      </c>
    </row>
    <row r="38" spans="1:4" x14ac:dyDescent="0.2">
      <c r="A38" t="s">
        <v>943</v>
      </c>
      <c r="B38" t="s">
        <v>437</v>
      </c>
      <c r="C38" t="s">
        <v>914</v>
      </c>
      <c r="D38" t="s">
        <v>944</v>
      </c>
    </row>
    <row r="39" spans="1:4" x14ac:dyDescent="0.2">
      <c r="A39" t="s">
        <v>910</v>
      </c>
      <c r="B39" t="s">
        <v>442</v>
      </c>
      <c r="C39" t="s">
        <v>914</v>
      </c>
      <c r="D39" t="s">
        <v>945</v>
      </c>
    </row>
    <row r="40" spans="1:4" x14ac:dyDescent="0.2">
      <c r="A40" t="s">
        <v>946</v>
      </c>
      <c r="B40" t="s">
        <v>446</v>
      </c>
      <c r="C40" t="s">
        <v>947</v>
      </c>
      <c r="D40" t="s">
        <v>948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6"/>
  <sheetViews>
    <sheetView workbookViewId="0"/>
  </sheetViews>
  <sheetFormatPr defaultRowHeight="15" x14ac:dyDescent="0.2"/>
  <sheetData>
    <row r="1" spans="1:2" x14ac:dyDescent="0.2">
      <c r="A1" t="s">
        <v>35</v>
      </c>
      <c r="B1" t="s">
        <v>260</v>
      </c>
    </row>
    <row r="2" spans="1:2" x14ac:dyDescent="0.2">
      <c r="A2" t="s">
        <v>949</v>
      </c>
      <c r="B2" t="s">
        <v>301</v>
      </c>
    </row>
    <row r="3" spans="1:2" x14ac:dyDescent="0.2">
      <c r="A3" t="s">
        <v>950</v>
      </c>
      <c r="B3" t="s">
        <v>951</v>
      </c>
    </row>
    <row r="4" spans="1:2" x14ac:dyDescent="0.2">
      <c r="A4" t="s">
        <v>952</v>
      </c>
      <c r="B4" t="s">
        <v>953</v>
      </c>
    </row>
    <row r="5" spans="1:2" x14ac:dyDescent="0.2">
      <c r="A5" t="s">
        <v>151</v>
      </c>
      <c r="B5" t="s">
        <v>954</v>
      </c>
    </row>
    <row r="6" spans="1:2" x14ac:dyDescent="0.2">
      <c r="A6" t="s">
        <v>955</v>
      </c>
      <c r="B6" t="s">
        <v>956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8"/>
  <sheetViews>
    <sheetView workbookViewId="0"/>
  </sheetViews>
  <sheetFormatPr defaultRowHeight="15" x14ac:dyDescent="0.2"/>
  <sheetData>
    <row r="1" spans="1:1" ht="21" customHeight="1" x14ac:dyDescent="0.3">
      <c r="A1" s="42" t="s">
        <v>957</v>
      </c>
    </row>
    <row r="3" spans="1:1" x14ac:dyDescent="0.2">
      <c r="A3" t="s">
        <v>958</v>
      </c>
    </row>
    <row r="4" spans="1:1" x14ac:dyDescent="0.2">
      <c r="A4" t="s">
        <v>829</v>
      </c>
    </row>
    <row r="5" spans="1:1" x14ac:dyDescent="0.2">
      <c r="A5" t="s">
        <v>959</v>
      </c>
    </row>
    <row r="6" spans="1:1" x14ac:dyDescent="0.2">
      <c r="A6" t="s">
        <v>960</v>
      </c>
    </row>
    <row r="7" spans="1:1" x14ac:dyDescent="0.2">
      <c r="A7" t="s">
        <v>961</v>
      </c>
    </row>
    <row r="8" spans="1:1" x14ac:dyDescent="0.2">
      <c r="A8" t="s">
        <v>191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1"/>
  <sheetViews>
    <sheetView workbookViewId="0"/>
  </sheetViews>
  <sheetFormatPr defaultRowHeight="15" x14ac:dyDescent="0.2"/>
  <sheetData>
    <row r="1" spans="1:3" ht="23.25" customHeight="1" x14ac:dyDescent="0.3">
      <c r="A1" s="43" t="s">
        <v>962</v>
      </c>
    </row>
    <row r="2" spans="1:3" x14ac:dyDescent="0.2">
      <c r="A2" t="s">
        <v>963</v>
      </c>
    </row>
    <row r="3" spans="1:3" x14ac:dyDescent="0.2">
      <c r="A3" t="s">
        <v>42</v>
      </c>
    </row>
    <row r="4" spans="1:3" x14ac:dyDescent="0.2">
      <c r="A4" t="s">
        <v>964</v>
      </c>
    </row>
    <row r="5" spans="1:3" x14ac:dyDescent="0.2">
      <c r="A5" t="s">
        <v>151</v>
      </c>
    </row>
    <row r="6" spans="1:3" x14ac:dyDescent="0.2">
      <c r="A6" t="s">
        <v>191</v>
      </c>
    </row>
    <row r="7" spans="1:3" x14ac:dyDescent="0.2">
      <c r="A7" t="s">
        <v>8</v>
      </c>
      <c r="B7" t="s">
        <v>965</v>
      </c>
      <c r="C7" t="s">
        <v>966</v>
      </c>
    </row>
    <row r="8" spans="1:3" x14ac:dyDescent="0.2">
      <c r="A8" t="s">
        <v>229</v>
      </c>
      <c r="B8" t="s">
        <v>967</v>
      </c>
      <c r="C8" t="s">
        <v>968</v>
      </c>
    </row>
    <row r="9" spans="1:3" x14ac:dyDescent="0.2">
      <c r="A9" t="s">
        <v>235</v>
      </c>
      <c r="B9" t="s">
        <v>969</v>
      </c>
      <c r="C9" t="s">
        <v>970</v>
      </c>
    </row>
    <row r="10" spans="1:3" x14ac:dyDescent="0.2">
      <c r="A10" t="s">
        <v>241</v>
      </c>
      <c r="B10" t="s">
        <v>971</v>
      </c>
      <c r="C10" t="s">
        <v>972</v>
      </c>
    </row>
    <row r="11" spans="1:3" x14ac:dyDescent="0.2">
      <c r="A11" t="s">
        <v>247</v>
      </c>
      <c r="B11" t="s">
        <v>151</v>
      </c>
      <c r="C11" t="s">
        <v>973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10"/>
  <sheetViews>
    <sheetView workbookViewId="0"/>
  </sheetViews>
  <sheetFormatPr defaultRowHeight="15" x14ac:dyDescent="0.2"/>
  <sheetData>
    <row r="1" spans="1:1" ht="21" customHeight="1" x14ac:dyDescent="0.3">
      <c r="A1" s="42" t="s">
        <v>974</v>
      </c>
    </row>
    <row r="3" spans="1:1" x14ac:dyDescent="0.2">
      <c r="A3" t="s">
        <v>975</v>
      </c>
    </row>
    <row r="4" spans="1:1" x14ac:dyDescent="0.2">
      <c r="A4" t="s">
        <v>958</v>
      </c>
    </row>
    <row r="5" spans="1:1" x14ac:dyDescent="0.2">
      <c r="A5" t="s">
        <v>976</v>
      </c>
    </row>
    <row r="6" spans="1:1" x14ac:dyDescent="0.2">
      <c r="A6" t="s">
        <v>977</v>
      </c>
    </row>
    <row r="7" spans="1:1" x14ac:dyDescent="0.2">
      <c r="A7" t="s">
        <v>151</v>
      </c>
    </row>
    <row r="8" spans="1:1" x14ac:dyDescent="0.2">
      <c r="A8" t="s">
        <v>798</v>
      </c>
    </row>
    <row r="9" spans="1:1" x14ac:dyDescent="0.2">
      <c r="A9" t="s">
        <v>191</v>
      </c>
    </row>
    <row r="10" spans="1:1" x14ac:dyDescent="0.2">
      <c r="A10" t="s">
        <v>978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7"/>
  <sheetViews>
    <sheetView workbookViewId="0"/>
  </sheetViews>
  <sheetFormatPr defaultRowHeight="15" x14ac:dyDescent="0.2"/>
  <sheetData>
    <row r="1" spans="1:1" ht="21" customHeight="1" x14ac:dyDescent="0.3">
      <c r="A1" s="42" t="s">
        <v>284</v>
      </c>
    </row>
    <row r="2" spans="1:1" x14ac:dyDescent="0.2">
      <c r="A2" t="s">
        <v>979</v>
      </c>
    </row>
    <row r="3" spans="1:1" x14ac:dyDescent="0.2">
      <c r="A3" t="s">
        <v>980</v>
      </c>
    </row>
    <row r="4" spans="1:1" x14ac:dyDescent="0.2">
      <c r="A4" t="s">
        <v>981</v>
      </c>
    </row>
    <row r="5" spans="1:1" x14ac:dyDescent="0.2">
      <c r="A5" t="s">
        <v>982</v>
      </c>
    </row>
    <row r="6" spans="1:1" x14ac:dyDescent="0.2">
      <c r="A6" t="s">
        <v>983</v>
      </c>
    </row>
    <row r="7" spans="1:1" x14ac:dyDescent="0.2">
      <c r="A7" t="s">
        <v>984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6"/>
  <sheetViews>
    <sheetView workbookViewId="0"/>
  </sheetViews>
  <sheetFormatPr defaultRowHeight="15" x14ac:dyDescent="0.2"/>
  <sheetData>
    <row r="1" spans="1:1" ht="21" customHeight="1" x14ac:dyDescent="0.3">
      <c r="A1" s="42" t="s">
        <v>985</v>
      </c>
    </row>
    <row r="2" spans="1:1" x14ac:dyDescent="0.2">
      <c r="A2" t="s">
        <v>986</v>
      </c>
    </row>
    <row r="3" spans="1:1" x14ac:dyDescent="0.2">
      <c r="A3" t="s">
        <v>987</v>
      </c>
    </row>
    <row r="4" spans="1:1" x14ac:dyDescent="0.2">
      <c r="A4" t="s">
        <v>988</v>
      </c>
    </row>
    <row r="5" spans="1:1" x14ac:dyDescent="0.2">
      <c r="A5" t="s">
        <v>989</v>
      </c>
    </row>
    <row r="6" spans="1:1" x14ac:dyDescent="0.2">
      <c r="A6" t="s">
        <v>990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6"/>
  <sheetViews>
    <sheetView workbookViewId="0"/>
  </sheetViews>
  <sheetFormatPr defaultRowHeight="15" x14ac:dyDescent="0.2"/>
  <sheetData>
    <row r="1" spans="1:1" ht="21" customHeight="1" x14ac:dyDescent="0.3">
      <c r="A1" s="42" t="s">
        <v>991</v>
      </c>
    </row>
    <row r="2" spans="1:1" x14ac:dyDescent="0.2">
      <c r="A2" t="s">
        <v>992</v>
      </c>
    </row>
    <row r="3" spans="1:1" x14ac:dyDescent="0.2">
      <c r="A3" t="s">
        <v>993</v>
      </c>
    </row>
    <row r="4" spans="1:1" x14ac:dyDescent="0.2">
      <c r="A4" t="s">
        <v>994</v>
      </c>
    </row>
    <row r="5" spans="1:1" x14ac:dyDescent="0.2">
      <c r="A5" t="s">
        <v>995</v>
      </c>
    </row>
    <row r="6" spans="1:1" x14ac:dyDescent="0.2">
      <c r="A6" t="s">
        <v>996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7"/>
  <sheetViews>
    <sheetView workbookViewId="0"/>
  </sheetViews>
  <sheetFormatPr defaultRowHeight="15" x14ac:dyDescent="0.2"/>
  <sheetData>
    <row r="1" spans="1:1" ht="21" customHeight="1" x14ac:dyDescent="0.3">
      <c r="A1" s="42" t="s">
        <v>997</v>
      </c>
    </row>
    <row r="2" spans="1:1" x14ac:dyDescent="0.2">
      <c r="A2" t="s">
        <v>975</v>
      </c>
    </row>
    <row r="3" spans="1:1" x14ac:dyDescent="0.2">
      <c r="A3" t="s">
        <v>952</v>
      </c>
    </row>
    <row r="4" spans="1:1" x14ac:dyDescent="0.2">
      <c r="A4" t="s">
        <v>998</v>
      </c>
    </row>
    <row r="5" spans="1:1" x14ac:dyDescent="0.2">
      <c r="A5" t="s">
        <v>151</v>
      </c>
    </row>
    <row r="6" spans="1:1" x14ac:dyDescent="0.2">
      <c r="A6" t="s">
        <v>976</v>
      </c>
    </row>
    <row r="7" spans="1:1" x14ac:dyDescent="0.2">
      <c r="A7" t="s">
        <v>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10"/>
  <sheetViews>
    <sheetView workbookViewId="0"/>
  </sheetViews>
  <sheetFormatPr defaultRowHeight="15" x14ac:dyDescent="0.2"/>
  <sheetData>
    <row r="1" spans="1:1" ht="23.25" customHeight="1" x14ac:dyDescent="0.3">
      <c r="A1" s="43" t="s">
        <v>1000</v>
      </c>
    </row>
    <row r="3" spans="1:1" x14ac:dyDescent="0.2">
      <c r="A3" t="s">
        <v>1001</v>
      </c>
    </row>
    <row r="4" spans="1:1" x14ac:dyDescent="0.2">
      <c r="A4" t="s">
        <v>830</v>
      </c>
    </row>
    <row r="5" spans="1:1" x14ac:dyDescent="0.2">
      <c r="A5" t="s">
        <v>958</v>
      </c>
    </row>
    <row r="6" spans="1:1" x14ac:dyDescent="0.2">
      <c r="A6" t="s">
        <v>1002</v>
      </c>
    </row>
    <row r="7" spans="1:1" x14ac:dyDescent="0.2">
      <c r="A7" t="s">
        <v>1003</v>
      </c>
    </row>
    <row r="8" spans="1:1" x14ac:dyDescent="0.2">
      <c r="A8" t="s">
        <v>1004</v>
      </c>
    </row>
    <row r="9" spans="1:1" x14ac:dyDescent="0.2">
      <c r="A9" t="s">
        <v>284</v>
      </c>
    </row>
    <row r="10" spans="1:1" x14ac:dyDescent="0.2">
      <c r="A10" t="s">
        <v>971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7"/>
  <sheetViews>
    <sheetView workbookViewId="0"/>
  </sheetViews>
  <sheetFormatPr defaultRowHeight="15" x14ac:dyDescent="0.2"/>
  <sheetData>
    <row r="1" spans="1:1" ht="21" customHeight="1" x14ac:dyDescent="0.3">
      <c r="A1" s="42" t="s">
        <v>991</v>
      </c>
    </row>
    <row r="3" spans="1:1" x14ac:dyDescent="0.2">
      <c r="A3" t="s">
        <v>1005</v>
      </c>
    </row>
    <row r="4" spans="1:1" x14ac:dyDescent="0.2">
      <c r="A4" t="s">
        <v>1006</v>
      </c>
    </row>
    <row r="5" spans="1:1" x14ac:dyDescent="0.2">
      <c r="A5" t="s">
        <v>1007</v>
      </c>
    </row>
    <row r="6" spans="1:1" x14ac:dyDescent="0.2">
      <c r="A6" t="s">
        <v>1008</v>
      </c>
    </row>
    <row r="7" spans="1:1" x14ac:dyDescent="0.2">
      <c r="A7" t="s">
        <v>1009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8"/>
  <sheetViews>
    <sheetView workbookViewId="0"/>
  </sheetViews>
  <sheetFormatPr defaultRowHeight="15" x14ac:dyDescent="0.2"/>
  <sheetData>
    <row r="1" spans="1:1" ht="23.25" customHeight="1" x14ac:dyDescent="0.3">
      <c r="A1" s="43" t="s">
        <v>1010</v>
      </c>
    </row>
    <row r="3" spans="1:1" x14ac:dyDescent="0.2">
      <c r="A3" t="s">
        <v>48</v>
      </c>
    </row>
    <row r="4" spans="1:1" x14ac:dyDescent="0.2">
      <c r="A4" t="s">
        <v>49</v>
      </c>
    </row>
    <row r="5" spans="1:1" x14ac:dyDescent="0.2">
      <c r="A5" t="s">
        <v>1011</v>
      </c>
    </row>
    <row r="6" spans="1:1" x14ac:dyDescent="0.2">
      <c r="A6" t="s">
        <v>1012</v>
      </c>
    </row>
    <row r="7" spans="1:1" x14ac:dyDescent="0.2">
      <c r="A7" t="s">
        <v>1013</v>
      </c>
    </row>
    <row r="8" spans="1:1" x14ac:dyDescent="0.2">
      <c r="A8" t="s">
        <v>1014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6"/>
  <sheetViews>
    <sheetView workbookViewId="0"/>
  </sheetViews>
  <sheetFormatPr defaultRowHeight="15" x14ac:dyDescent="0.2"/>
  <sheetData>
    <row r="1" spans="1:1" ht="23.25" customHeight="1" x14ac:dyDescent="0.3">
      <c r="A1" s="43" t="s">
        <v>1015</v>
      </c>
    </row>
    <row r="3" spans="1:1" x14ac:dyDescent="0.2">
      <c r="A3" t="s">
        <v>1016</v>
      </c>
    </row>
    <row r="4" spans="1:1" x14ac:dyDescent="0.2">
      <c r="A4" t="s">
        <v>1017</v>
      </c>
    </row>
    <row r="5" spans="1:1" x14ac:dyDescent="0.2">
      <c r="A5" t="s">
        <v>1018</v>
      </c>
    </row>
    <row r="6" spans="1:1" x14ac:dyDescent="0.2">
      <c r="A6" t="s">
        <v>57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10"/>
  <sheetViews>
    <sheetView workbookViewId="0"/>
  </sheetViews>
  <sheetFormatPr defaultRowHeight="15" x14ac:dyDescent="0.2"/>
  <sheetData>
    <row r="1" spans="1:1" ht="23.25" customHeight="1" x14ac:dyDescent="0.3">
      <c r="A1" s="43" t="s">
        <v>1019</v>
      </c>
    </row>
    <row r="3" spans="1:1" x14ac:dyDescent="0.2">
      <c r="A3" t="s">
        <v>1020</v>
      </c>
    </row>
    <row r="4" spans="1:1" x14ac:dyDescent="0.2">
      <c r="A4" t="s">
        <v>235</v>
      </c>
    </row>
    <row r="5" spans="1:1" x14ac:dyDescent="0.2">
      <c r="A5" t="s">
        <v>241</v>
      </c>
    </row>
    <row r="6" spans="1:1" x14ac:dyDescent="0.2">
      <c r="A6" t="s">
        <v>835</v>
      </c>
    </row>
    <row r="7" spans="1:1" x14ac:dyDescent="0.2">
      <c r="A7" t="s">
        <v>65</v>
      </c>
    </row>
    <row r="8" spans="1:1" x14ac:dyDescent="0.2">
      <c r="A8" t="s">
        <v>247</v>
      </c>
    </row>
    <row r="9" spans="1:1" x14ac:dyDescent="0.2">
      <c r="A9" t="s">
        <v>1021</v>
      </c>
    </row>
    <row r="10" spans="1:1" x14ac:dyDescent="0.2">
      <c r="A10" t="s">
        <v>1022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6"/>
  <sheetViews>
    <sheetView workbookViewId="0"/>
  </sheetViews>
  <sheetFormatPr defaultRowHeight="15" x14ac:dyDescent="0.2"/>
  <sheetData>
    <row r="1" spans="1:1" ht="23.25" customHeight="1" x14ac:dyDescent="0.3">
      <c r="A1" s="43" t="s">
        <v>1023</v>
      </c>
    </row>
    <row r="2" spans="1:1" x14ac:dyDescent="0.2">
      <c r="A2" t="s">
        <v>1024</v>
      </c>
    </row>
    <row r="3" spans="1:1" x14ac:dyDescent="0.2">
      <c r="A3" t="s">
        <v>1025</v>
      </c>
    </row>
    <row r="4" spans="1:1" x14ac:dyDescent="0.2">
      <c r="A4" t="s">
        <v>1026</v>
      </c>
    </row>
    <row r="5" spans="1:1" x14ac:dyDescent="0.2">
      <c r="A5" t="s">
        <v>988</v>
      </c>
    </row>
    <row r="6" spans="1:1" x14ac:dyDescent="0.2">
      <c r="A6" t="s">
        <v>1027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6"/>
  <sheetViews>
    <sheetView workbookViewId="0"/>
  </sheetViews>
  <sheetFormatPr defaultRowHeight="15" x14ac:dyDescent="0.2"/>
  <sheetData>
    <row r="1" spans="1:1" ht="23.25" customHeight="1" x14ac:dyDescent="0.3">
      <c r="A1" s="43" t="s">
        <v>1028</v>
      </c>
    </row>
    <row r="2" spans="1:1" x14ac:dyDescent="0.2">
      <c r="A2" t="s">
        <v>1029</v>
      </c>
    </row>
    <row r="3" spans="1:1" x14ac:dyDescent="0.2">
      <c r="A3" t="s">
        <v>958</v>
      </c>
    </row>
    <row r="4" spans="1:1" x14ac:dyDescent="0.2">
      <c r="A4" t="s">
        <v>1030</v>
      </c>
    </row>
    <row r="5" spans="1:1" x14ac:dyDescent="0.2">
      <c r="A5" t="s">
        <v>1031</v>
      </c>
    </row>
    <row r="6" spans="1:1" x14ac:dyDescent="0.2">
      <c r="A6" t="s">
        <v>1032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defaultRowHeight="15" x14ac:dyDescent="0.2"/>
  <sheetData>
    <row r="1" spans="1:1" ht="23.25" customHeight="1" x14ac:dyDescent="0.3">
      <c r="A1" s="43" t="s">
        <v>997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7"/>
  <sheetViews>
    <sheetView workbookViewId="0"/>
  </sheetViews>
  <sheetFormatPr defaultRowHeight="15" x14ac:dyDescent="0.2"/>
  <sheetData>
    <row r="1" spans="1:1" ht="21" customHeight="1" x14ac:dyDescent="0.3">
      <c r="A1" s="42" t="s">
        <v>1033</v>
      </c>
    </row>
    <row r="2" spans="1:1" x14ac:dyDescent="0.2">
      <c r="A2" t="s">
        <v>975</v>
      </c>
    </row>
    <row r="3" spans="1:1" x14ac:dyDescent="0.2">
      <c r="A3" t="s">
        <v>958</v>
      </c>
    </row>
    <row r="4" spans="1:1" x14ac:dyDescent="0.2">
      <c r="A4" t="s">
        <v>998</v>
      </c>
    </row>
    <row r="5" spans="1:1" x14ac:dyDescent="0.2">
      <c r="A5" t="s">
        <v>151</v>
      </c>
    </row>
    <row r="6" spans="1:1" x14ac:dyDescent="0.2">
      <c r="A6" t="s">
        <v>976</v>
      </c>
    </row>
    <row r="7" spans="1:1" x14ac:dyDescent="0.2">
      <c r="A7" t="s">
        <v>978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6"/>
  <sheetViews>
    <sheetView workbookViewId="0"/>
  </sheetViews>
  <sheetFormatPr defaultRowHeight="15" x14ac:dyDescent="0.2"/>
  <sheetData>
    <row r="1" spans="1:1" ht="21" customHeight="1" x14ac:dyDescent="0.3">
      <c r="A1" s="42" t="s">
        <v>1034</v>
      </c>
    </row>
    <row r="2" spans="1:1" x14ac:dyDescent="0.2">
      <c r="A2" t="s">
        <v>1035</v>
      </c>
    </row>
    <row r="3" spans="1:1" x14ac:dyDescent="0.2">
      <c r="A3" t="s">
        <v>1036</v>
      </c>
    </row>
    <row r="4" spans="1:1" x14ac:dyDescent="0.2">
      <c r="A4" t="s">
        <v>1037</v>
      </c>
    </row>
    <row r="5" spans="1:1" x14ac:dyDescent="0.2">
      <c r="A5" t="s">
        <v>164</v>
      </c>
    </row>
    <row r="6" spans="1:1" x14ac:dyDescent="0.2">
      <c r="A6" t="s">
        <v>1038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7"/>
  <sheetViews>
    <sheetView workbookViewId="0"/>
  </sheetViews>
  <sheetFormatPr defaultRowHeight="15" x14ac:dyDescent="0.2"/>
  <sheetData>
    <row r="1" spans="1:2" ht="21" customHeight="1" x14ac:dyDescent="0.3">
      <c r="A1" s="42" t="s">
        <v>1039</v>
      </c>
    </row>
    <row r="2" spans="1:2" x14ac:dyDescent="0.2">
      <c r="A2" t="s">
        <v>950</v>
      </c>
      <c r="B2" t="s">
        <v>1040</v>
      </c>
    </row>
    <row r="3" spans="1:2" x14ac:dyDescent="0.2">
      <c r="A3" t="s">
        <v>952</v>
      </c>
      <c r="B3" t="s">
        <v>1040</v>
      </c>
    </row>
    <row r="4" spans="1:2" x14ac:dyDescent="0.2">
      <c r="A4" t="s">
        <v>151</v>
      </c>
      <c r="B4" t="s">
        <v>1040</v>
      </c>
    </row>
    <row r="5" spans="1:2" x14ac:dyDescent="0.2">
      <c r="A5" t="s">
        <v>11</v>
      </c>
      <c r="B5" t="s">
        <v>1040</v>
      </c>
    </row>
    <row r="6" spans="1:2" x14ac:dyDescent="0.2">
      <c r="A6" t="s">
        <v>795</v>
      </c>
      <c r="B6" t="s">
        <v>1040</v>
      </c>
    </row>
    <row r="7" spans="1:2" x14ac:dyDescent="0.2">
      <c r="A7" t="s">
        <v>1041</v>
      </c>
      <c r="B7" t="s">
        <v>1040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9"/>
  <sheetViews>
    <sheetView workbookViewId="0"/>
  </sheetViews>
  <sheetFormatPr defaultRowHeight="15" x14ac:dyDescent="0.2"/>
  <sheetData>
    <row r="1" spans="1:2" ht="23.25" customHeight="1" x14ac:dyDescent="0.3">
      <c r="A1" s="43" t="s">
        <v>1039</v>
      </c>
    </row>
    <row r="2" spans="1:2" x14ac:dyDescent="0.2">
      <c r="A2" t="s">
        <v>269</v>
      </c>
      <c r="B2" t="s">
        <v>1042</v>
      </c>
    </row>
    <row r="3" spans="1:2" x14ac:dyDescent="0.2">
      <c r="A3" t="s">
        <v>950</v>
      </c>
      <c r="B3" t="s">
        <v>1042</v>
      </c>
    </row>
    <row r="4" spans="1:2" x14ac:dyDescent="0.2">
      <c r="A4" t="s">
        <v>952</v>
      </c>
      <c r="B4" t="s">
        <v>1042</v>
      </c>
    </row>
    <row r="5" spans="1:2" x14ac:dyDescent="0.2">
      <c r="A5" t="s">
        <v>976</v>
      </c>
      <c r="B5" t="s">
        <v>1042</v>
      </c>
    </row>
    <row r="6" spans="1:2" x14ac:dyDescent="0.2">
      <c r="A6" t="s">
        <v>151</v>
      </c>
      <c r="B6" t="s">
        <v>1042</v>
      </c>
    </row>
    <row r="7" spans="1:2" x14ac:dyDescent="0.2">
      <c r="A7" t="s">
        <v>1043</v>
      </c>
      <c r="B7" t="s">
        <v>1042</v>
      </c>
    </row>
    <row r="8" spans="1:2" x14ac:dyDescent="0.2">
      <c r="A8" t="s">
        <v>1044</v>
      </c>
      <c r="B8" t="s">
        <v>1040</v>
      </c>
    </row>
    <row r="9" spans="1:2" x14ac:dyDescent="0.2">
      <c r="A9" t="s">
        <v>795</v>
      </c>
      <c r="B9" t="s">
        <v>1040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9"/>
  <sheetViews>
    <sheetView workbookViewId="0"/>
  </sheetViews>
  <sheetFormatPr defaultRowHeight="15" x14ac:dyDescent="0.2"/>
  <sheetData>
    <row r="1" spans="1:1" ht="23.25" customHeight="1" x14ac:dyDescent="0.3">
      <c r="A1" s="43" t="s">
        <v>1045</v>
      </c>
    </row>
    <row r="2" spans="1:1" x14ac:dyDescent="0.2">
      <c r="A2" t="s">
        <v>1046</v>
      </c>
    </row>
    <row r="3" spans="1:1" x14ac:dyDescent="0.2">
      <c r="A3" t="s">
        <v>1047</v>
      </c>
    </row>
    <row r="4" spans="1:1" x14ac:dyDescent="0.2">
      <c r="A4" t="s">
        <v>1048</v>
      </c>
    </row>
    <row r="5" spans="1:1" x14ac:dyDescent="0.2">
      <c r="A5" t="s">
        <v>1049</v>
      </c>
    </row>
    <row r="6" spans="1:1" x14ac:dyDescent="0.2">
      <c r="A6" t="s">
        <v>1050</v>
      </c>
    </row>
    <row r="7" spans="1:1" x14ac:dyDescent="0.2">
      <c r="A7" t="s">
        <v>1051</v>
      </c>
    </row>
    <row r="8" spans="1:1" x14ac:dyDescent="0.2">
      <c r="A8" t="s">
        <v>1052</v>
      </c>
    </row>
    <row r="9" spans="1:1" x14ac:dyDescent="0.2">
      <c r="A9" t="s">
        <v>1053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7"/>
  <sheetViews>
    <sheetView workbookViewId="0"/>
  </sheetViews>
  <sheetFormatPr defaultRowHeight="15" x14ac:dyDescent="0.2"/>
  <sheetData>
    <row r="1" spans="1:1" ht="23.25" customHeight="1" x14ac:dyDescent="0.3">
      <c r="A1" s="43" t="s">
        <v>1054</v>
      </c>
    </row>
    <row r="2" spans="1:1" x14ac:dyDescent="0.2">
      <c r="A2" t="s">
        <v>958</v>
      </c>
    </row>
    <row r="3" spans="1:1" x14ac:dyDescent="0.2">
      <c r="A3" t="s">
        <v>830</v>
      </c>
    </row>
    <row r="4" spans="1:1" x14ac:dyDescent="0.2">
      <c r="A4" t="s">
        <v>1026</v>
      </c>
    </row>
    <row r="5" spans="1:1" x14ac:dyDescent="0.2">
      <c r="A5" t="s">
        <v>151</v>
      </c>
    </row>
    <row r="6" spans="1:1" x14ac:dyDescent="0.2">
      <c r="A6" t="s">
        <v>961</v>
      </c>
    </row>
    <row r="7" spans="1:1" x14ac:dyDescent="0.2">
      <c r="A7" t="s">
        <v>978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7"/>
  <sheetViews>
    <sheetView workbookViewId="0"/>
  </sheetViews>
  <sheetFormatPr defaultRowHeight="15" x14ac:dyDescent="0.2"/>
  <sheetData>
    <row r="1" spans="1:1" ht="23.25" customHeight="1" x14ac:dyDescent="0.3">
      <c r="A1" s="43" t="s">
        <v>1055</v>
      </c>
    </row>
    <row r="2" spans="1:1" x14ac:dyDescent="0.2">
      <c r="A2" t="s">
        <v>952</v>
      </c>
    </row>
    <row r="3" spans="1:1" x14ac:dyDescent="0.2">
      <c r="A3" t="s">
        <v>998</v>
      </c>
    </row>
    <row r="4" spans="1:1" x14ac:dyDescent="0.2">
      <c r="A4" t="s">
        <v>976</v>
      </c>
    </row>
    <row r="5" spans="1:1" x14ac:dyDescent="0.2">
      <c r="A5" t="s">
        <v>1036</v>
      </c>
    </row>
    <row r="6" spans="1:1" x14ac:dyDescent="0.2">
      <c r="A6" t="s">
        <v>151</v>
      </c>
    </row>
    <row r="7" spans="1:1" x14ac:dyDescent="0.2">
      <c r="A7" t="s">
        <v>999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6"/>
  <sheetViews>
    <sheetView workbookViewId="0"/>
  </sheetViews>
  <sheetFormatPr defaultRowHeight="15" x14ac:dyDescent="0.2"/>
  <sheetData>
    <row r="1" spans="1:2" ht="23.25" customHeight="1" x14ac:dyDescent="0.3">
      <c r="A1" s="43" t="s">
        <v>1056</v>
      </c>
    </row>
    <row r="2" spans="1:2" x14ac:dyDescent="0.2">
      <c r="A2" t="s">
        <v>1057</v>
      </c>
      <c r="B2" t="s">
        <v>293</v>
      </c>
    </row>
    <row r="3" spans="1:2" x14ac:dyDescent="0.2">
      <c r="A3" t="s">
        <v>269</v>
      </c>
      <c r="B3" t="s">
        <v>293</v>
      </c>
    </row>
    <row r="4" spans="1:2" x14ac:dyDescent="0.2">
      <c r="A4" t="s">
        <v>1058</v>
      </c>
      <c r="B4" t="s">
        <v>285</v>
      </c>
    </row>
    <row r="5" spans="1:2" x14ac:dyDescent="0.2">
      <c r="A5" t="s">
        <v>377</v>
      </c>
      <c r="B5" t="s">
        <v>1059</v>
      </c>
    </row>
    <row r="6" spans="1:2" x14ac:dyDescent="0.2">
      <c r="A6" t="s">
        <v>1060</v>
      </c>
      <c r="B6" t="s">
        <v>1061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7"/>
  <sheetViews>
    <sheetView workbookViewId="0"/>
  </sheetViews>
  <sheetFormatPr defaultRowHeight="15" x14ac:dyDescent="0.2"/>
  <sheetData>
    <row r="1" spans="1:2" ht="23.25" customHeight="1" x14ac:dyDescent="0.3">
      <c r="A1" s="43" t="s">
        <v>1062</v>
      </c>
    </row>
    <row r="2" spans="1:2" x14ac:dyDescent="0.2">
      <c r="A2" t="s">
        <v>1063</v>
      </c>
      <c r="B2" t="s">
        <v>301</v>
      </c>
    </row>
    <row r="3" spans="1:2" x14ac:dyDescent="0.2">
      <c r="A3" t="s">
        <v>950</v>
      </c>
      <c r="B3" t="s">
        <v>90</v>
      </c>
    </row>
    <row r="4" spans="1:2" x14ac:dyDescent="0.2">
      <c r="A4" t="s">
        <v>952</v>
      </c>
      <c r="B4" t="s">
        <v>90</v>
      </c>
    </row>
    <row r="5" spans="1:2" x14ac:dyDescent="0.2">
      <c r="A5" t="s">
        <v>976</v>
      </c>
      <c r="B5" t="s">
        <v>90</v>
      </c>
    </row>
    <row r="6" spans="1:2" x14ac:dyDescent="0.2">
      <c r="A6" t="s">
        <v>151</v>
      </c>
      <c r="B6" t="s">
        <v>90</v>
      </c>
    </row>
    <row r="7" spans="1:2" x14ac:dyDescent="0.2">
      <c r="A7" t="s">
        <v>39</v>
      </c>
      <c r="B7" t="s">
        <v>497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10"/>
  <sheetViews>
    <sheetView workbookViewId="0"/>
  </sheetViews>
  <sheetFormatPr defaultRowHeight="15" x14ac:dyDescent="0.2"/>
  <cols>
    <col min="1" max="1" width="31.34375" style="38" customWidth="1"/>
    <col min="2" max="2" width="5.24609375" style="38" customWidth="1"/>
    <col min="3" max="3" width="49.63671875" style="38" customWidth="1"/>
    <col min="4" max="4" width="26.76953125" style="38" customWidth="1"/>
    <col min="5" max="11" width="22.05859375" style="38" customWidth="1"/>
  </cols>
  <sheetData>
    <row r="1" spans="1:4" ht="39.75" customHeight="1" x14ac:dyDescent="0.3">
      <c r="A1" s="9" t="s">
        <v>1064</v>
      </c>
      <c r="B1" s="9"/>
      <c r="C1" s="9"/>
      <c r="D1" s="9"/>
    </row>
    <row r="3" spans="1:4" ht="27.75" customHeight="1" x14ac:dyDescent="0.2">
      <c r="A3" s="10" t="s">
        <v>1065</v>
      </c>
      <c r="B3" s="10" t="s">
        <v>39</v>
      </c>
      <c r="C3" s="10" t="s">
        <v>261</v>
      </c>
      <c r="D3" s="10" t="s">
        <v>228</v>
      </c>
    </row>
    <row r="4" spans="1:4" ht="27.75" customHeight="1" x14ac:dyDescent="0.2">
      <c r="A4" s="14" t="s">
        <v>1066</v>
      </c>
      <c r="B4" s="14" t="s">
        <v>1067</v>
      </c>
      <c r="C4" s="14" t="s">
        <v>1068</v>
      </c>
      <c r="D4" s="14" t="s">
        <v>1069</v>
      </c>
    </row>
    <row r="5" spans="1:4" x14ac:dyDescent="0.2">
      <c r="A5" s="14" t="s">
        <v>1070</v>
      </c>
      <c r="B5" s="14" t="s">
        <v>1067</v>
      </c>
      <c r="C5" s="14" t="s">
        <v>1071</v>
      </c>
      <c r="D5" s="14" t="s">
        <v>1072</v>
      </c>
    </row>
    <row r="6" spans="1:4" ht="27.75" customHeight="1" x14ac:dyDescent="0.2">
      <c r="A6" s="14" t="s">
        <v>269</v>
      </c>
      <c r="B6" s="14" t="s">
        <v>1067</v>
      </c>
      <c r="C6" s="14" t="s">
        <v>1073</v>
      </c>
      <c r="D6" s="14" t="s">
        <v>1074</v>
      </c>
    </row>
    <row r="7" spans="1:4" x14ac:dyDescent="0.2">
      <c r="A7" s="14" t="s">
        <v>1075</v>
      </c>
      <c r="B7" s="14" t="s">
        <v>1067</v>
      </c>
      <c r="C7" s="14" t="s">
        <v>1076</v>
      </c>
      <c r="D7" s="14" t="s">
        <v>1077</v>
      </c>
    </row>
    <row r="8" spans="1:4" x14ac:dyDescent="0.2">
      <c r="A8" s="14" t="s">
        <v>1078</v>
      </c>
      <c r="B8" s="14" t="s">
        <v>1067</v>
      </c>
      <c r="C8" s="14" t="s">
        <v>1079</v>
      </c>
      <c r="D8" s="14" t="s">
        <v>1080</v>
      </c>
    </row>
    <row r="9" spans="1:4" x14ac:dyDescent="0.2">
      <c r="A9" s="14" t="s">
        <v>377</v>
      </c>
      <c r="B9" s="14" t="s">
        <v>375</v>
      </c>
      <c r="C9" s="14" t="s">
        <v>1081</v>
      </c>
      <c r="D9" s="14" t="s">
        <v>1082</v>
      </c>
    </row>
    <row r="10" spans="1:4" x14ac:dyDescent="0.2">
      <c r="A10" s="14" t="s">
        <v>75</v>
      </c>
      <c r="B10" s="14" t="s">
        <v>1067</v>
      </c>
      <c r="C10" s="14" t="s">
        <v>1083</v>
      </c>
      <c r="D10" s="14" t="s">
        <v>1084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11"/>
  <sheetViews>
    <sheetView workbookViewId="0"/>
  </sheetViews>
  <sheetFormatPr defaultRowHeight="15" x14ac:dyDescent="0.2"/>
  <cols>
    <col min="1" max="1" width="37.26171875" style="38" customWidth="1"/>
    <col min="2" max="2" width="32.28515625" style="38" customWidth="1"/>
    <col min="3" max="3" width="21.5234375" style="38" customWidth="1"/>
    <col min="4" max="4" width="10.76171875" style="38" customWidth="1"/>
    <col min="5" max="11" width="22.05859375" style="38" customWidth="1"/>
  </cols>
  <sheetData>
    <row r="1" spans="1:4" ht="39.75" customHeight="1" x14ac:dyDescent="0.3">
      <c r="A1" s="9" t="s">
        <v>1085</v>
      </c>
      <c r="B1" s="9"/>
      <c r="C1" s="9"/>
      <c r="D1" s="9"/>
    </row>
    <row r="3" spans="1:4" ht="27.75" customHeight="1" x14ac:dyDescent="0.2">
      <c r="A3" s="10" t="s">
        <v>1086</v>
      </c>
      <c r="B3" s="10" t="s">
        <v>36</v>
      </c>
      <c r="C3" s="10" t="s">
        <v>38</v>
      </c>
      <c r="D3" s="10" t="s">
        <v>1087</v>
      </c>
    </row>
    <row r="4" spans="1:4" x14ac:dyDescent="0.2">
      <c r="A4" s="14" t="s">
        <v>1088</v>
      </c>
      <c r="B4" s="14" t="s">
        <v>1089</v>
      </c>
      <c r="C4" s="14" t="s">
        <v>1090</v>
      </c>
      <c r="D4" s="14" t="s">
        <v>179</v>
      </c>
    </row>
    <row r="5" spans="1:4" x14ac:dyDescent="0.2">
      <c r="A5" s="14" t="s">
        <v>1091</v>
      </c>
      <c r="B5" s="14" t="s">
        <v>1092</v>
      </c>
      <c r="C5" s="14" t="s">
        <v>1090</v>
      </c>
      <c r="D5" s="14" t="s">
        <v>179</v>
      </c>
    </row>
    <row r="6" spans="1:4" x14ac:dyDescent="0.2">
      <c r="A6" s="14" t="s">
        <v>1093</v>
      </c>
      <c r="B6" s="14" t="s">
        <v>1094</v>
      </c>
      <c r="C6" s="14" t="s">
        <v>1095</v>
      </c>
      <c r="D6" s="14" t="s">
        <v>179</v>
      </c>
    </row>
    <row r="7" spans="1:4" ht="27.75" customHeight="1" x14ac:dyDescent="0.2">
      <c r="A7" s="14" t="s">
        <v>1096</v>
      </c>
      <c r="B7" s="14" t="s">
        <v>1097</v>
      </c>
      <c r="C7" s="14" t="s">
        <v>45</v>
      </c>
      <c r="D7" s="14" t="s">
        <v>179</v>
      </c>
    </row>
    <row r="8" spans="1:4" x14ac:dyDescent="0.2">
      <c r="A8" s="14" t="s">
        <v>1098</v>
      </c>
      <c r="B8" s="14" t="s">
        <v>1099</v>
      </c>
      <c r="C8" s="14" t="s">
        <v>58</v>
      </c>
      <c r="D8" s="14" t="s">
        <v>179</v>
      </c>
    </row>
    <row r="9" spans="1:4" ht="27.75" customHeight="1" x14ac:dyDescent="0.2">
      <c r="A9" s="14" t="s">
        <v>1100</v>
      </c>
      <c r="B9" s="14" t="s">
        <v>1101</v>
      </c>
      <c r="C9" s="14" t="s">
        <v>1102</v>
      </c>
      <c r="D9" s="14" t="s">
        <v>179</v>
      </c>
    </row>
    <row r="10" spans="1:4" x14ac:dyDescent="0.2">
      <c r="A10" s="14" t="s">
        <v>1103</v>
      </c>
      <c r="B10" s="14" t="s">
        <v>1104</v>
      </c>
      <c r="C10" s="14" t="s">
        <v>1105</v>
      </c>
      <c r="D10" s="14" t="s">
        <v>1106</v>
      </c>
    </row>
    <row r="11" spans="1:4" x14ac:dyDescent="0.2">
      <c r="A11" s="14" t="s">
        <v>1107</v>
      </c>
      <c r="B11" s="14" t="s">
        <v>1108</v>
      </c>
      <c r="C11" s="14" t="s">
        <v>363</v>
      </c>
      <c r="D11" s="14" t="s">
        <v>1106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8"/>
  <sheetViews>
    <sheetView workbookViewId="0"/>
  </sheetViews>
  <sheetFormatPr defaultRowHeight="15" x14ac:dyDescent="0.2"/>
  <cols>
    <col min="1" max="1" width="38.47265625" style="38" customWidth="1"/>
    <col min="2" max="2" width="92.953125" style="38" customWidth="1"/>
    <col min="3" max="11" width="22.05859375" style="38" customWidth="1"/>
  </cols>
  <sheetData>
    <row r="1" spans="1:2" ht="39.75" customHeight="1" x14ac:dyDescent="0.3">
      <c r="A1" s="9" t="s">
        <v>1109</v>
      </c>
      <c r="B1" s="9"/>
    </row>
    <row r="3" spans="1:2" x14ac:dyDescent="0.2">
      <c r="A3" s="10" t="s">
        <v>1110</v>
      </c>
      <c r="B3" s="10" t="s">
        <v>1111</v>
      </c>
    </row>
    <row r="4" spans="1:2" x14ac:dyDescent="0.2">
      <c r="A4" s="14" t="s">
        <v>36</v>
      </c>
      <c r="B4" s="14" t="s">
        <v>1112</v>
      </c>
    </row>
    <row r="5" spans="1:2" ht="27.75" customHeight="1" x14ac:dyDescent="0.2">
      <c r="A5" s="14" t="s">
        <v>176</v>
      </c>
      <c r="B5" s="14" t="s">
        <v>1113</v>
      </c>
    </row>
    <row r="6" spans="1:2" x14ac:dyDescent="0.2">
      <c r="A6" s="14" t="s">
        <v>274</v>
      </c>
      <c r="B6" s="14" t="s">
        <v>1114</v>
      </c>
    </row>
    <row r="7" spans="1:2" x14ac:dyDescent="0.2">
      <c r="A7" s="14" t="s">
        <v>279</v>
      </c>
      <c r="B7" s="14" t="s">
        <v>1115</v>
      </c>
    </row>
    <row r="8" spans="1:2" x14ac:dyDescent="0.2">
      <c r="A8" s="14" t="s">
        <v>1116</v>
      </c>
      <c r="B8" s="14" t="s">
        <v>1117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10"/>
  <sheetViews>
    <sheetView workbookViewId="0"/>
  </sheetViews>
  <sheetFormatPr defaultRowHeight="15" x14ac:dyDescent="0.2"/>
  <sheetData>
    <row r="1" spans="1:2" ht="23.25" customHeight="1" x14ac:dyDescent="0.3">
      <c r="A1" s="44" t="s">
        <v>1118</v>
      </c>
    </row>
    <row r="2" spans="1:2" x14ac:dyDescent="0.2">
      <c r="A2" t="s">
        <v>1119</v>
      </c>
      <c r="B2" t="s">
        <v>1120</v>
      </c>
    </row>
    <row r="4" spans="1:2" x14ac:dyDescent="0.2">
      <c r="A4" s="41" t="s">
        <v>1121</v>
      </c>
    </row>
    <row r="5" spans="1:2" x14ac:dyDescent="0.2">
      <c r="A5" t="s">
        <v>1122</v>
      </c>
      <c r="B5" t="s">
        <v>1123</v>
      </c>
    </row>
    <row r="6" spans="1:2" x14ac:dyDescent="0.2">
      <c r="A6" t="s">
        <v>1122</v>
      </c>
      <c r="B6" t="s">
        <v>1124</v>
      </c>
    </row>
    <row r="7" spans="1:2" x14ac:dyDescent="0.2">
      <c r="A7" t="s">
        <v>1122</v>
      </c>
      <c r="B7" t="s">
        <v>1125</v>
      </c>
    </row>
    <row r="8" spans="1:2" x14ac:dyDescent="0.2">
      <c r="A8" t="s">
        <v>1122</v>
      </c>
      <c r="B8" t="s">
        <v>1126</v>
      </c>
    </row>
    <row r="9" spans="1:2" x14ac:dyDescent="0.2">
      <c r="A9" t="s">
        <v>1122</v>
      </c>
      <c r="B9" t="s">
        <v>1127</v>
      </c>
    </row>
    <row r="10" spans="1:2" x14ac:dyDescent="0.2">
      <c r="A10" t="s">
        <v>1122</v>
      </c>
      <c r="B10" t="s">
        <v>1128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10"/>
  <sheetViews>
    <sheetView workbookViewId="0"/>
  </sheetViews>
  <sheetFormatPr defaultRowHeight="15" x14ac:dyDescent="0.2"/>
  <sheetData>
    <row r="1" spans="1:2" ht="23.25" customHeight="1" x14ac:dyDescent="0.3">
      <c r="A1" s="44" t="s">
        <v>1129</v>
      </c>
    </row>
    <row r="3" spans="1:2" x14ac:dyDescent="0.2">
      <c r="A3" t="s">
        <v>1130</v>
      </c>
      <c r="B3" t="s">
        <v>1131</v>
      </c>
    </row>
    <row r="4" spans="1:2" x14ac:dyDescent="0.2">
      <c r="A4" t="s">
        <v>1130</v>
      </c>
      <c r="B4" t="s">
        <v>1132</v>
      </c>
    </row>
    <row r="5" spans="1:2" x14ac:dyDescent="0.2">
      <c r="A5" t="s">
        <v>1130</v>
      </c>
      <c r="B5" t="s">
        <v>1133</v>
      </c>
    </row>
    <row r="6" spans="1:2" x14ac:dyDescent="0.2">
      <c r="A6" t="s">
        <v>1130</v>
      </c>
      <c r="B6" t="s">
        <v>1134</v>
      </c>
    </row>
    <row r="7" spans="1:2" x14ac:dyDescent="0.2">
      <c r="A7" t="s">
        <v>1130</v>
      </c>
      <c r="B7" t="s">
        <v>1135</v>
      </c>
    </row>
    <row r="8" spans="1:2" x14ac:dyDescent="0.2">
      <c r="A8" t="s">
        <v>1130</v>
      </c>
      <c r="B8" t="s">
        <v>1136</v>
      </c>
    </row>
    <row r="9" spans="1:2" x14ac:dyDescent="0.2">
      <c r="A9" t="s">
        <v>1130</v>
      </c>
      <c r="B9" t="s">
        <v>1137</v>
      </c>
    </row>
    <row r="10" spans="1:2" x14ac:dyDescent="0.2">
      <c r="A10" t="s">
        <v>1130</v>
      </c>
      <c r="B10" t="s">
        <v>1138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9"/>
  <sheetViews>
    <sheetView workbookViewId="0"/>
  </sheetViews>
  <sheetFormatPr defaultRowHeight="15" x14ac:dyDescent="0.2"/>
  <sheetData>
    <row r="1" spans="1:2" ht="23.25" customHeight="1" x14ac:dyDescent="0.3">
      <c r="A1" s="11" t="s">
        <v>1139</v>
      </c>
    </row>
    <row r="3" spans="1:2" x14ac:dyDescent="0.2">
      <c r="A3" t="s">
        <v>1122</v>
      </c>
      <c r="B3" t="s">
        <v>1140</v>
      </c>
    </row>
    <row r="4" spans="1:2" x14ac:dyDescent="0.2">
      <c r="A4" t="s">
        <v>1122</v>
      </c>
      <c r="B4" t="s">
        <v>1141</v>
      </c>
    </row>
    <row r="5" spans="1:2" x14ac:dyDescent="0.2">
      <c r="A5" t="s">
        <v>1122</v>
      </c>
      <c r="B5" t="s">
        <v>1142</v>
      </c>
    </row>
    <row r="6" spans="1:2" x14ac:dyDescent="0.2">
      <c r="A6" t="s">
        <v>1122</v>
      </c>
      <c r="B6" t="s">
        <v>1143</v>
      </c>
    </row>
    <row r="7" spans="1:2" x14ac:dyDescent="0.2">
      <c r="A7" t="s">
        <v>1122</v>
      </c>
      <c r="B7" t="s">
        <v>1144</v>
      </c>
    </row>
    <row r="8" spans="1:2" x14ac:dyDescent="0.2">
      <c r="A8" t="s">
        <v>1122</v>
      </c>
      <c r="B8" t="s">
        <v>1145</v>
      </c>
    </row>
    <row r="9" spans="1:2" x14ac:dyDescent="0.2">
      <c r="A9" t="s">
        <v>1122</v>
      </c>
      <c r="B9" t="s">
        <v>1146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6"/>
  <sheetViews>
    <sheetView workbookViewId="0"/>
  </sheetViews>
  <sheetFormatPr defaultRowHeight="15" x14ac:dyDescent="0.2"/>
  <sheetData>
    <row r="1" spans="1:2" ht="23.25" customHeight="1" x14ac:dyDescent="0.3">
      <c r="A1" s="43" t="s">
        <v>1147</v>
      </c>
    </row>
    <row r="2" spans="1:2" x14ac:dyDescent="0.2">
      <c r="A2" t="s">
        <v>1148</v>
      </c>
      <c r="B2" t="s">
        <v>264</v>
      </c>
    </row>
    <row r="3" spans="1:2" x14ac:dyDescent="0.2">
      <c r="A3" t="s">
        <v>151</v>
      </c>
      <c r="B3" t="s">
        <v>264</v>
      </c>
    </row>
    <row r="4" spans="1:2" x14ac:dyDescent="0.2">
      <c r="A4" t="s">
        <v>976</v>
      </c>
      <c r="B4" t="s">
        <v>264</v>
      </c>
    </row>
    <row r="5" spans="1:2" x14ac:dyDescent="0.2">
      <c r="A5" t="s">
        <v>952</v>
      </c>
      <c r="B5" t="s">
        <v>264</v>
      </c>
    </row>
    <row r="6" spans="1:2" x14ac:dyDescent="0.2">
      <c r="A6" t="s">
        <v>1149</v>
      </c>
      <c r="B6" t="s">
        <v>1150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7"/>
  <sheetViews>
    <sheetView workbookViewId="0"/>
  </sheetViews>
  <sheetFormatPr defaultRowHeight="15" x14ac:dyDescent="0.2"/>
  <sheetData>
    <row r="1" spans="1:2" ht="23.25" customHeight="1" x14ac:dyDescent="0.3">
      <c r="A1" s="43" t="s">
        <v>1151</v>
      </c>
    </row>
    <row r="2" spans="1:2" x14ac:dyDescent="0.2">
      <c r="A2" t="s">
        <v>35</v>
      </c>
      <c r="B2" t="s">
        <v>260</v>
      </c>
    </row>
    <row r="3" spans="1:2" x14ac:dyDescent="0.2">
      <c r="A3" t="s">
        <v>950</v>
      </c>
      <c r="B3" t="s">
        <v>301</v>
      </c>
    </row>
    <row r="4" spans="1:2" x14ac:dyDescent="0.2">
      <c r="A4" t="s">
        <v>269</v>
      </c>
      <c r="B4" t="s">
        <v>301</v>
      </c>
    </row>
    <row r="5" spans="1:2" x14ac:dyDescent="0.2">
      <c r="A5" t="s">
        <v>952</v>
      </c>
      <c r="B5" t="s">
        <v>301</v>
      </c>
    </row>
    <row r="6" spans="1:2" x14ac:dyDescent="0.2">
      <c r="A6" t="s">
        <v>151</v>
      </c>
      <c r="B6" t="s">
        <v>301</v>
      </c>
    </row>
    <row r="7" spans="1:2" x14ac:dyDescent="0.2">
      <c r="A7" t="s">
        <v>1149</v>
      </c>
      <c r="B7" t="s">
        <v>1152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9"/>
  <sheetViews>
    <sheetView workbookViewId="0"/>
  </sheetViews>
  <sheetFormatPr defaultRowHeight="15" x14ac:dyDescent="0.2"/>
  <sheetData>
    <row r="1" spans="1:2" ht="23.25" customHeight="1" x14ac:dyDescent="0.3">
      <c r="A1" s="44" t="s">
        <v>1153</v>
      </c>
    </row>
    <row r="2" spans="1:2" x14ac:dyDescent="0.2">
      <c r="A2" t="s">
        <v>1154</v>
      </c>
      <c r="B2" t="s">
        <v>36</v>
      </c>
    </row>
    <row r="3" spans="1:2" x14ac:dyDescent="0.2">
      <c r="A3" t="s">
        <v>1155</v>
      </c>
      <c r="B3" t="s">
        <v>1156</v>
      </c>
    </row>
    <row r="4" spans="1:2" x14ac:dyDescent="0.2">
      <c r="A4" t="s">
        <v>1157</v>
      </c>
      <c r="B4" t="s">
        <v>1158</v>
      </c>
    </row>
    <row r="5" spans="1:2" x14ac:dyDescent="0.2">
      <c r="A5" t="s">
        <v>1159</v>
      </c>
      <c r="B5" t="s">
        <v>1160</v>
      </c>
    </row>
    <row r="6" spans="1:2" x14ac:dyDescent="0.2">
      <c r="A6" t="s">
        <v>1096</v>
      </c>
      <c r="B6" t="s">
        <v>1161</v>
      </c>
    </row>
    <row r="7" spans="1:2" x14ac:dyDescent="0.2">
      <c r="A7" t="s">
        <v>1162</v>
      </c>
      <c r="B7" t="s">
        <v>1163</v>
      </c>
    </row>
    <row r="8" spans="1:2" x14ac:dyDescent="0.2">
      <c r="A8" t="s">
        <v>1164</v>
      </c>
      <c r="B8" t="s">
        <v>1165</v>
      </c>
    </row>
    <row r="9" spans="1:2" x14ac:dyDescent="0.2">
      <c r="A9" t="s">
        <v>1166</v>
      </c>
      <c r="B9" t="s">
        <v>1167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11"/>
  <sheetViews>
    <sheetView workbookViewId="0"/>
  </sheetViews>
  <sheetFormatPr defaultRowHeight="15" x14ac:dyDescent="0.2"/>
  <cols>
    <col min="1" max="4" width="23.9453125" style="38" customWidth="1"/>
  </cols>
  <sheetData>
    <row r="1" spans="1:4" ht="39.75" customHeight="1" x14ac:dyDescent="0.3">
      <c r="A1" s="12" t="s">
        <v>1168</v>
      </c>
      <c r="B1" s="12"/>
      <c r="C1" s="12"/>
      <c r="D1" s="12"/>
    </row>
    <row r="3" spans="1:4" x14ac:dyDescent="0.2">
      <c r="A3" s="13" t="s">
        <v>1169</v>
      </c>
      <c r="B3" s="13" t="s">
        <v>36</v>
      </c>
      <c r="C3" s="13" t="s">
        <v>1170</v>
      </c>
      <c r="D3" s="13" t="s">
        <v>40</v>
      </c>
    </row>
    <row r="4" spans="1:4" x14ac:dyDescent="0.2">
      <c r="A4" s="14" t="s">
        <v>1155</v>
      </c>
      <c r="B4" s="14" t="s">
        <v>1171</v>
      </c>
      <c r="C4" s="14" t="s">
        <v>1172</v>
      </c>
      <c r="D4" s="14" t="s">
        <v>1173</v>
      </c>
    </row>
    <row r="5" spans="1:4" x14ac:dyDescent="0.2">
      <c r="A5" s="14" t="s">
        <v>1091</v>
      </c>
      <c r="B5" s="14" t="s">
        <v>1174</v>
      </c>
      <c r="C5" s="14" t="s">
        <v>1172</v>
      </c>
      <c r="D5" s="14" t="s">
        <v>1175</v>
      </c>
    </row>
    <row r="6" spans="1:4" ht="27.75" customHeight="1" x14ac:dyDescent="0.2">
      <c r="A6" s="14" t="s">
        <v>1093</v>
      </c>
      <c r="B6" s="14" t="s">
        <v>1176</v>
      </c>
      <c r="C6" s="14" t="s">
        <v>1172</v>
      </c>
      <c r="D6" s="14" t="s">
        <v>1177</v>
      </c>
    </row>
    <row r="7" spans="1:4" ht="27.75" customHeight="1" x14ac:dyDescent="0.2">
      <c r="A7" s="14" t="s">
        <v>1096</v>
      </c>
      <c r="B7" s="14" t="s">
        <v>1178</v>
      </c>
      <c r="C7" s="14" t="s">
        <v>1172</v>
      </c>
      <c r="D7" s="14" t="s">
        <v>1179</v>
      </c>
    </row>
    <row r="8" spans="1:4" x14ac:dyDescent="0.2">
      <c r="A8" s="14" t="s">
        <v>1162</v>
      </c>
      <c r="B8" s="14" t="s">
        <v>1180</v>
      </c>
      <c r="C8" s="14" t="s">
        <v>1172</v>
      </c>
      <c r="D8" s="14" t="s">
        <v>1181</v>
      </c>
    </row>
    <row r="9" spans="1:4" x14ac:dyDescent="0.2">
      <c r="A9" s="14" t="s">
        <v>1164</v>
      </c>
      <c r="B9" s="14" t="s">
        <v>1182</v>
      </c>
      <c r="C9" s="14" t="s">
        <v>1172</v>
      </c>
      <c r="D9" s="14" t="s">
        <v>1183</v>
      </c>
    </row>
    <row r="10" spans="1:4" x14ac:dyDescent="0.2">
      <c r="A10" s="14" t="s">
        <v>1166</v>
      </c>
      <c r="B10" s="14" t="s">
        <v>1184</v>
      </c>
      <c r="C10" s="14" t="s">
        <v>1185</v>
      </c>
      <c r="D10" s="14" t="s">
        <v>1186</v>
      </c>
    </row>
    <row r="11" spans="1:4" x14ac:dyDescent="0.2">
      <c r="A11" s="14" t="s">
        <v>1187</v>
      </c>
      <c r="B11" s="14" t="s">
        <v>1188</v>
      </c>
      <c r="C11" s="14" t="s">
        <v>1189</v>
      </c>
      <c r="D11" s="14" t="s">
        <v>1190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7"/>
  <sheetViews>
    <sheetView workbookViewId="0"/>
  </sheetViews>
  <sheetFormatPr defaultRowHeight="15" x14ac:dyDescent="0.2"/>
  <cols>
    <col min="1" max="3" width="23.9453125" style="38" customWidth="1"/>
  </cols>
  <sheetData>
    <row r="1" spans="1:3" ht="39.75" customHeight="1" x14ac:dyDescent="0.3">
      <c r="A1" s="12" t="s">
        <v>1191</v>
      </c>
      <c r="B1" s="12"/>
      <c r="C1" s="12"/>
    </row>
    <row r="3" spans="1:3" x14ac:dyDescent="0.2">
      <c r="A3" s="13" t="s">
        <v>1192</v>
      </c>
      <c r="B3" s="13" t="s">
        <v>94</v>
      </c>
      <c r="C3" s="13" t="s">
        <v>1193</v>
      </c>
    </row>
    <row r="4" spans="1:3" ht="27.75" customHeight="1" x14ac:dyDescent="0.2">
      <c r="A4" s="14" t="s">
        <v>857</v>
      </c>
      <c r="B4" s="14" t="s">
        <v>1194</v>
      </c>
      <c r="C4" s="14" t="s">
        <v>1195</v>
      </c>
    </row>
    <row r="5" spans="1:3" ht="27.75" customHeight="1" x14ac:dyDescent="0.2">
      <c r="A5" s="14" t="s">
        <v>860</v>
      </c>
      <c r="B5" s="14" t="s">
        <v>1196</v>
      </c>
      <c r="C5" s="14" t="s">
        <v>1197</v>
      </c>
    </row>
    <row r="6" spans="1:3" x14ac:dyDescent="0.2">
      <c r="A6" s="14" t="s">
        <v>863</v>
      </c>
      <c r="B6" s="14" t="s">
        <v>1198</v>
      </c>
      <c r="C6" s="14" t="s">
        <v>1199</v>
      </c>
    </row>
    <row r="7" spans="1:3" ht="27.75" customHeight="1" x14ac:dyDescent="0.2">
      <c r="A7" s="14" t="s">
        <v>866</v>
      </c>
      <c r="B7" s="14" t="s">
        <v>76</v>
      </c>
      <c r="C7" s="14" t="s">
        <v>1200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6"/>
  <sheetViews>
    <sheetView workbookViewId="0"/>
  </sheetViews>
  <sheetFormatPr defaultRowHeight="15" x14ac:dyDescent="0.2"/>
  <sheetData>
    <row r="1" spans="1:2" ht="23.25" customHeight="1" x14ac:dyDescent="0.3">
      <c r="A1" s="43" t="s">
        <v>1201</v>
      </c>
    </row>
    <row r="2" spans="1:2" x14ac:dyDescent="0.2">
      <c r="A2" t="s">
        <v>1202</v>
      </c>
      <c r="B2" t="s">
        <v>39</v>
      </c>
    </row>
    <row r="3" spans="1:2" x14ac:dyDescent="0.2">
      <c r="A3" t="s">
        <v>1203</v>
      </c>
      <c r="B3" t="s">
        <v>1204</v>
      </c>
    </row>
    <row r="4" spans="1:2" x14ac:dyDescent="0.2">
      <c r="A4" t="s">
        <v>1205</v>
      </c>
      <c r="B4" t="s">
        <v>1204</v>
      </c>
    </row>
    <row r="5" spans="1:2" x14ac:dyDescent="0.2">
      <c r="A5" t="s">
        <v>1206</v>
      </c>
      <c r="B5" t="s">
        <v>1040</v>
      </c>
    </row>
    <row r="6" spans="1:2" x14ac:dyDescent="0.2">
      <c r="A6" t="s">
        <v>1207</v>
      </c>
      <c r="B6" t="s">
        <v>1208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6"/>
  <sheetViews>
    <sheetView workbookViewId="0"/>
  </sheetViews>
  <sheetFormatPr defaultRowHeight="15" x14ac:dyDescent="0.2"/>
  <sheetData>
    <row r="1" spans="1:2" ht="23.25" customHeight="1" x14ac:dyDescent="0.3">
      <c r="A1" s="43" t="s">
        <v>1209</v>
      </c>
    </row>
    <row r="2" spans="1:2" x14ac:dyDescent="0.2">
      <c r="A2" t="s">
        <v>142</v>
      </c>
      <c r="B2" t="s">
        <v>1210</v>
      </c>
    </row>
    <row r="3" spans="1:2" x14ac:dyDescent="0.2">
      <c r="A3" t="s">
        <v>860</v>
      </c>
      <c r="B3" t="s">
        <v>1211</v>
      </c>
    </row>
    <row r="4" spans="1:2" x14ac:dyDescent="0.2">
      <c r="A4" t="s">
        <v>863</v>
      </c>
      <c r="B4" t="s">
        <v>1212</v>
      </c>
    </row>
    <row r="5" spans="1:2" x14ac:dyDescent="0.2">
      <c r="A5" t="s">
        <v>866</v>
      </c>
      <c r="B5" t="s">
        <v>1213</v>
      </c>
    </row>
    <row r="6" spans="1:2" x14ac:dyDescent="0.2">
      <c r="A6" t="s">
        <v>1214</v>
      </c>
      <c r="B6" t="s">
        <v>1215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7"/>
  <sheetViews>
    <sheetView workbookViewId="0"/>
  </sheetViews>
  <sheetFormatPr defaultRowHeight="15" x14ac:dyDescent="0.2"/>
  <cols>
    <col min="1" max="4" width="23.9453125" style="38" customWidth="1"/>
  </cols>
  <sheetData>
    <row r="1" spans="1:4" ht="59.25" customHeight="1" x14ac:dyDescent="0.3">
      <c r="A1" s="15" t="s">
        <v>1216</v>
      </c>
      <c r="B1" s="15"/>
      <c r="C1" s="15"/>
      <c r="D1" s="15"/>
    </row>
    <row r="3" spans="1:4" x14ac:dyDescent="0.2">
      <c r="A3" s="16" t="s">
        <v>173</v>
      </c>
      <c r="B3" s="16" t="s">
        <v>1217</v>
      </c>
      <c r="C3" s="16" t="s">
        <v>1218</v>
      </c>
      <c r="D3" s="16" t="s">
        <v>1219</v>
      </c>
    </row>
    <row r="4" spans="1:4" ht="27.75" customHeight="1" x14ac:dyDescent="0.2">
      <c r="A4" s="14" t="s">
        <v>176</v>
      </c>
      <c r="B4" s="14" t="s">
        <v>1220</v>
      </c>
      <c r="C4" s="14" t="s">
        <v>1221</v>
      </c>
      <c r="D4" s="14" t="s">
        <v>1222</v>
      </c>
    </row>
    <row r="5" spans="1:4" ht="27.75" customHeight="1" x14ac:dyDescent="0.2">
      <c r="A5" s="14" t="s">
        <v>274</v>
      </c>
      <c r="B5" s="14" t="s">
        <v>1223</v>
      </c>
      <c r="C5" s="14" t="s">
        <v>1224</v>
      </c>
      <c r="D5" s="14" t="s">
        <v>1225</v>
      </c>
    </row>
    <row r="6" spans="1:4" ht="27.75" customHeight="1" x14ac:dyDescent="0.2">
      <c r="A6" s="14" t="s">
        <v>279</v>
      </c>
      <c r="B6" s="14" t="s">
        <v>1226</v>
      </c>
      <c r="C6" s="14" t="s">
        <v>1224</v>
      </c>
      <c r="D6" s="14" t="s">
        <v>1227</v>
      </c>
    </row>
    <row r="7" spans="1:4" ht="27.75" customHeight="1" x14ac:dyDescent="0.2">
      <c r="A7" s="14" t="s">
        <v>1228</v>
      </c>
      <c r="B7" s="14" t="s">
        <v>866</v>
      </c>
      <c r="C7" s="14" t="s">
        <v>1229</v>
      </c>
      <c r="D7" s="14" t="s">
        <v>1230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43"/>
  <sheetViews>
    <sheetView workbookViewId="0"/>
  </sheetViews>
  <sheetFormatPr defaultRowHeight="15" x14ac:dyDescent="0.2"/>
  <cols>
    <col min="1" max="4" width="23.9453125" style="38" customWidth="1"/>
  </cols>
  <sheetData>
    <row r="1" spans="1:4" ht="21" customHeight="1" x14ac:dyDescent="0.3">
      <c r="A1" s="15" t="s">
        <v>1231</v>
      </c>
      <c r="B1" s="15"/>
      <c r="C1" s="15"/>
      <c r="D1" s="15"/>
    </row>
    <row r="3" spans="1:4" x14ac:dyDescent="0.2">
      <c r="A3" s="16" t="s">
        <v>1232</v>
      </c>
      <c r="B3" s="16" t="s">
        <v>753</v>
      </c>
      <c r="C3" s="16" t="s">
        <v>1233</v>
      </c>
      <c r="D3" s="16" t="s">
        <v>1234</v>
      </c>
    </row>
    <row r="4" spans="1:4" x14ac:dyDescent="0.2">
      <c r="A4" s="14" t="s">
        <v>1155</v>
      </c>
      <c r="B4" s="14" t="s">
        <v>1235</v>
      </c>
      <c r="C4" s="14" t="s">
        <v>1236</v>
      </c>
      <c r="D4" s="14" t="s">
        <v>84</v>
      </c>
    </row>
    <row r="5" spans="1:4" x14ac:dyDescent="0.2">
      <c r="A5" s="14" t="s">
        <v>1237</v>
      </c>
      <c r="B5" s="14" t="s">
        <v>1235</v>
      </c>
      <c r="C5" s="14" t="s">
        <v>1236</v>
      </c>
      <c r="D5" s="14" t="s">
        <v>84</v>
      </c>
    </row>
    <row r="6" spans="1:4" x14ac:dyDescent="0.2">
      <c r="A6" s="14" t="s">
        <v>1238</v>
      </c>
      <c r="B6" s="14" t="s">
        <v>1235</v>
      </c>
      <c r="C6" s="14" t="s">
        <v>1236</v>
      </c>
      <c r="D6" s="14" t="s">
        <v>84</v>
      </c>
    </row>
    <row r="7" spans="1:4" x14ac:dyDescent="0.2">
      <c r="A7" s="14" t="s">
        <v>1239</v>
      </c>
      <c r="B7" s="14" t="s">
        <v>1235</v>
      </c>
      <c r="C7" s="14" t="s">
        <v>1236</v>
      </c>
      <c r="D7" s="14" t="s">
        <v>84</v>
      </c>
    </row>
    <row r="8" spans="1:4" x14ac:dyDescent="0.2">
      <c r="A8" s="14" t="s">
        <v>1240</v>
      </c>
      <c r="B8" s="14" t="s">
        <v>1235</v>
      </c>
      <c r="C8" s="14" t="s">
        <v>1236</v>
      </c>
      <c r="D8" s="14" t="s">
        <v>84</v>
      </c>
    </row>
    <row r="9" spans="1:4" x14ac:dyDescent="0.2">
      <c r="A9" s="14" t="s">
        <v>1241</v>
      </c>
      <c r="B9" s="14" t="s">
        <v>1235</v>
      </c>
      <c r="C9" s="14" t="s">
        <v>1236</v>
      </c>
      <c r="D9" s="14" t="s">
        <v>84</v>
      </c>
    </row>
    <row r="10" spans="1:4" x14ac:dyDescent="0.2">
      <c r="A10" s="14" t="s">
        <v>1242</v>
      </c>
      <c r="B10" s="14" t="s">
        <v>1235</v>
      </c>
      <c r="C10" s="14" t="s">
        <v>1236</v>
      </c>
      <c r="D10" s="14" t="s">
        <v>84</v>
      </c>
    </row>
    <row r="11" spans="1:4" x14ac:dyDescent="0.2">
      <c r="A11" s="14" t="s">
        <v>1243</v>
      </c>
      <c r="B11" s="14" t="s">
        <v>1235</v>
      </c>
      <c r="C11" s="14" t="s">
        <v>1236</v>
      </c>
      <c r="D11" s="14" t="s">
        <v>84</v>
      </c>
    </row>
    <row r="12" spans="1:4" x14ac:dyDescent="0.2">
      <c r="A12" s="14" t="s">
        <v>1103</v>
      </c>
      <c r="B12" s="14" t="s">
        <v>1235</v>
      </c>
      <c r="C12" s="14" t="s">
        <v>1236</v>
      </c>
      <c r="D12" s="14" t="s">
        <v>84</v>
      </c>
    </row>
    <row r="13" spans="1:4" x14ac:dyDescent="0.2">
      <c r="A13" s="14" t="s">
        <v>1244</v>
      </c>
      <c r="B13" s="14" t="s">
        <v>1235</v>
      </c>
      <c r="C13" s="14" t="s">
        <v>1236</v>
      </c>
      <c r="D13" s="14" t="s">
        <v>84</v>
      </c>
    </row>
    <row r="14" spans="1:4" x14ac:dyDescent="0.2">
      <c r="A14" s="14" t="s">
        <v>1245</v>
      </c>
      <c r="B14" s="14" t="s">
        <v>1235</v>
      </c>
      <c r="C14" s="14" t="s">
        <v>1236</v>
      </c>
      <c r="D14" s="14" t="s">
        <v>84</v>
      </c>
    </row>
    <row r="15" spans="1:4" x14ac:dyDescent="0.2">
      <c r="A15" s="14" t="s">
        <v>1246</v>
      </c>
      <c r="B15" s="14" t="s">
        <v>1235</v>
      </c>
      <c r="C15" s="14" t="s">
        <v>1236</v>
      </c>
      <c r="D15" s="14" t="s">
        <v>84</v>
      </c>
    </row>
    <row r="16" spans="1:4" x14ac:dyDescent="0.2">
      <c r="A16" s="14" t="s">
        <v>1247</v>
      </c>
      <c r="B16" s="14" t="s">
        <v>1235</v>
      </c>
      <c r="C16" s="14" t="s">
        <v>1236</v>
      </c>
      <c r="D16" s="14" t="s">
        <v>84</v>
      </c>
    </row>
    <row r="17" spans="1:4" x14ac:dyDescent="0.2">
      <c r="A17" s="14" t="s">
        <v>1248</v>
      </c>
      <c r="B17" s="14" t="s">
        <v>1235</v>
      </c>
      <c r="C17" s="14" t="s">
        <v>1236</v>
      </c>
      <c r="D17" s="14" t="s">
        <v>84</v>
      </c>
    </row>
    <row r="18" spans="1:4" x14ac:dyDescent="0.2">
      <c r="A18" s="14" t="s">
        <v>1249</v>
      </c>
      <c r="B18" s="14" t="s">
        <v>1235</v>
      </c>
      <c r="C18" s="14" t="s">
        <v>1236</v>
      </c>
      <c r="D18" s="14" t="s">
        <v>84</v>
      </c>
    </row>
    <row r="19" spans="1:4" x14ac:dyDescent="0.2">
      <c r="A19" s="14" t="s">
        <v>1250</v>
      </c>
      <c r="B19" s="14" t="s">
        <v>1235</v>
      </c>
      <c r="C19" s="14" t="s">
        <v>1236</v>
      </c>
      <c r="D19" s="14" t="s">
        <v>84</v>
      </c>
    </row>
    <row r="20" spans="1:4" x14ac:dyDescent="0.2">
      <c r="A20" s="14" t="s">
        <v>1251</v>
      </c>
      <c r="B20" s="14" t="s">
        <v>1235</v>
      </c>
      <c r="C20" s="14" t="s">
        <v>1236</v>
      </c>
      <c r="D20" s="14" t="s">
        <v>84</v>
      </c>
    </row>
    <row r="21" spans="1:4" x14ac:dyDescent="0.2">
      <c r="A21" s="14" t="s">
        <v>1252</v>
      </c>
      <c r="B21" s="14" t="s">
        <v>1235</v>
      </c>
      <c r="C21" s="14" t="s">
        <v>1236</v>
      </c>
      <c r="D21" s="14" t="s">
        <v>84</v>
      </c>
    </row>
    <row r="22" spans="1:4" x14ac:dyDescent="0.2">
      <c r="A22" s="14" t="s">
        <v>1253</v>
      </c>
      <c r="B22" s="14" t="s">
        <v>1235</v>
      </c>
      <c r="C22" s="14" t="s">
        <v>1236</v>
      </c>
      <c r="D22" s="14" t="s">
        <v>84</v>
      </c>
    </row>
    <row r="23" spans="1:4" x14ac:dyDescent="0.2">
      <c r="A23" s="14" t="s">
        <v>1254</v>
      </c>
      <c r="B23" s="14" t="s">
        <v>1235</v>
      </c>
      <c r="C23" s="14" t="s">
        <v>1236</v>
      </c>
      <c r="D23" s="14" t="s">
        <v>84</v>
      </c>
    </row>
    <row r="24" spans="1:4" x14ac:dyDescent="0.2">
      <c r="A24" s="14" t="s">
        <v>1255</v>
      </c>
      <c r="B24" s="14" t="s">
        <v>1235</v>
      </c>
      <c r="C24" s="14" t="s">
        <v>1236</v>
      </c>
      <c r="D24" s="14" t="s">
        <v>84</v>
      </c>
    </row>
    <row r="25" spans="1:4" x14ac:dyDescent="0.2">
      <c r="A25" s="14" t="s">
        <v>1256</v>
      </c>
      <c r="B25" s="14" t="s">
        <v>1235</v>
      </c>
      <c r="C25" s="14" t="s">
        <v>1236</v>
      </c>
      <c r="D25" s="14" t="s">
        <v>84</v>
      </c>
    </row>
    <row r="26" spans="1:4" x14ac:dyDescent="0.2">
      <c r="A26" s="14" t="s">
        <v>1257</v>
      </c>
      <c r="B26" s="14" t="s">
        <v>1235</v>
      </c>
      <c r="C26" s="14" t="s">
        <v>1236</v>
      </c>
      <c r="D26" s="14" t="s">
        <v>84</v>
      </c>
    </row>
    <row r="27" spans="1:4" x14ac:dyDescent="0.2">
      <c r="A27" s="14" t="s">
        <v>1258</v>
      </c>
      <c r="B27" s="14" t="s">
        <v>1235</v>
      </c>
      <c r="C27" s="14" t="s">
        <v>1236</v>
      </c>
      <c r="D27" s="14" t="s">
        <v>84</v>
      </c>
    </row>
    <row r="28" spans="1:4" x14ac:dyDescent="0.2">
      <c r="A28" s="14" t="s">
        <v>1259</v>
      </c>
      <c r="B28" s="14" t="s">
        <v>1235</v>
      </c>
      <c r="C28" s="14" t="s">
        <v>1236</v>
      </c>
      <c r="D28" s="14" t="s">
        <v>84</v>
      </c>
    </row>
    <row r="29" spans="1:4" x14ac:dyDescent="0.2">
      <c r="A29" s="14" t="s">
        <v>1260</v>
      </c>
      <c r="B29" s="14" t="s">
        <v>1235</v>
      </c>
      <c r="C29" s="14" t="s">
        <v>1236</v>
      </c>
      <c r="D29" s="14" t="s">
        <v>84</v>
      </c>
    </row>
    <row r="30" spans="1:4" x14ac:dyDescent="0.2">
      <c r="A30" s="14" t="s">
        <v>1261</v>
      </c>
      <c r="B30" s="14" t="s">
        <v>1235</v>
      </c>
      <c r="C30" s="14" t="s">
        <v>1236</v>
      </c>
      <c r="D30" s="14" t="s">
        <v>84</v>
      </c>
    </row>
    <row r="31" spans="1:4" x14ac:dyDescent="0.2">
      <c r="A31" s="14" t="s">
        <v>1262</v>
      </c>
      <c r="B31" s="14" t="s">
        <v>1235</v>
      </c>
      <c r="C31" s="14" t="s">
        <v>1236</v>
      </c>
      <c r="D31" s="14" t="s">
        <v>84</v>
      </c>
    </row>
    <row r="32" spans="1:4" x14ac:dyDescent="0.2">
      <c r="A32" s="14" t="s">
        <v>1263</v>
      </c>
      <c r="B32" s="14" t="s">
        <v>1235</v>
      </c>
      <c r="C32" s="14" t="s">
        <v>1236</v>
      </c>
      <c r="D32" s="14" t="s">
        <v>84</v>
      </c>
    </row>
    <row r="33" spans="1:4" x14ac:dyDescent="0.2">
      <c r="A33" s="14" t="s">
        <v>1264</v>
      </c>
      <c r="B33" s="14" t="s">
        <v>1235</v>
      </c>
      <c r="C33" s="14" t="s">
        <v>1236</v>
      </c>
      <c r="D33" s="14" t="s">
        <v>84</v>
      </c>
    </row>
    <row r="34" spans="1:4" x14ac:dyDescent="0.2">
      <c r="A34" s="14" t="s">
        <v>1265</v>
      </c>
      <c r="B34" s="14" t="s">
        <v>1235</v>
      </c>
      <c r="C34" s="14" t="s">
        <v>1236</v>
      </c>
      <c r="D34" s="14" t="s">
        <v>84</v>
      </c>
    </row>
    <row r="35" spans="1:4" x14ac:dyDescent="0.2">
      <c r="A35" s="14" t="s">
        <v>1266</v>
      </c>
      <c r="B35" s="14" t="s">
        <v>1235</v>
      </c>
      <c r="C35" s="14" t="s">
        <v>1236</v>
      </c>
      <c r="D35" s="14" t="s">
        <v>84</v>
      </c>
    </row>
    <row r="36" spans="1:4" x14ac:dyDescent="0.2">
      <c r="A36" s="14" t="s">
        <v>1267</v>
      </c>
      <c r="B36" s="14" t="s">
        <v>1235</v>
      </c>
      <c r="C36" s="14" t="s">
        <v>1236</v>
      </c>
      <c r="D36" s="14" t="s">
        <v>84</v>
      </c>
    </row>
    <row r="37" spans="1:4" x14ac:dyDescent="0.2">
      <c r="A37" s="14" t="s">
        <v>1268</v>
      </c>
      <c r="B37" s="14" t="s">
        <v>1235</v>
      </c>
      <c r="C37" s="14" t="s">
        <v>1236</v>
      </c>
      <c r="D37" s="14" t="s">
        <v>84</v>
      </c>
    </row>
    <row r="38" spans="1:4" x14ac:dyDescent="0.2">
      <c r="A38" s="14" t="s">
        <v>1269</v>
      </c>
      <c r="B38" s="14" t="s">
        <v>1235</v>
      </c>
      <c r="C38" s="14" t="s">
        <v>1236</v>
      </c>
      <c r="D38" s="14" t="s">
        <v>84</v>
      </c>
    </row>
    <row r="39" spans="1:4" x14ac:dyDescent="0.2">
      <c r="A39" s="14" t="s">
        <v>1270</v>
      </c>
      <c r="B39" s="14" t="s">
        <v>1235</v>
      </c>
      <c r="C39" s="14" t="s">
        <v>1236</v>
      </c>
      <c r="D39" s="14" t="s">
        <v>84</v>
      </c>
    </row>
    <row r="40" spans="1:4" x14ac:dyDescent="0.2">
      <c r="A40" s="14" t="s">
        <v>1271</v>
      </c>
      <c r="B40" s="14" t="s">
        <v>1235</v>
      </c>
      <c r="C40" s="14" t="s">
        <v>1236</v>
      </c>
      <c r="D40" s="14" t="s">
        <v>84</v>
      </c>
    </row>
    <row r="41" spans="1:4" x14ac:dyDescent="0.2">
      <c r="A41" s="14" t="s">
        <v>1272</v>
      </c>
      <c r="B41" s="14" t="s">
        <v>1235</v>
      </c>
      <c r="C41" s="14" t="s">
        <v>1236</v>
      </c>
      <c r="D41" s="14" t="s">
        <v>84</v>
      </c>
    </row>
    <row r="42" spans="1:4" x14ac:dyDescent="0.2">
      <c r="A42" s="14" t="s">
        <v>1273</v>
      </c>
      <c r="B42" s="14" t="s">
        <v>1235</v>
      </c>
      <c r="C42" s="14" t="s">
        <v>1236</v>
      </c>
      <c r="D42" s="14" t="s">
        <v>84</v>
      </c>
    </row>
    <row r="43" spans="1:4" x14ac:dyDescent="0.2">
      <c r="A43" s="14" t="s">
        <v>1274</v>
      </c>
      <c r="B43" s="14" t="s">
        <v>1235</v>
      </c>
      <c r="C43" s="14" t="s">
        <v>1236</v>
      </c>
      <c r="D43" s="14" t="s">
        <v>84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43"/>
  <sheetViews>
    <sheetView workbookViewId="0"/>
  </sheetViews>
  <sheetFormatPr defaultRowHeight="15" x14ac:dyDescent="0.2"/>
  <cols>
    <col min="1" max="4" width="23.9453125" style="38" customWidth="1"/>
  </cols>
  <sheetData>
    <row r="1" spans="1:4" ht="39.75" customHeight="1" x14ac:dyDescent="0.3">
      <c r="A1" s="15" t="s">
        <v>1275</v>
      </c>
      <c r="B1" s="15"/>
      <c r="C1" s="15"/>
      <c r="D1" s="15"/>
    </row>
    <row r="3" spans="1:4" x14ac:dyDescent="0.2">
      <c r="A3" s="16" t="s">
        <v>1232</v>
      </c>
      <c r="B3" s="16" t="s">
        <v>753</v>
      </c>
      <c r="C3" s="16" t="s">
        <v>1233</v>
      </c>
      <c r="D3" s="16" t="s">
        <v>1234</v>
      </c>
    </row>
    <row r="4" spans="1:4" x14ac:dyDescent="0.2">
      <c r="A4" s="14" t="s">
        <v>1155</v>
      </c>
      <c r="B4" s="14" t="s">
        <v>1276</v>
      </c>
      <c r="C4" s="14" t="s">
        <v>1236</v>
      </c>
      <c r="D4" s="14" t="s">
        <v>84</v>
      </c>
    </row>
    <row r="5" spans="1:4" x14ac:dyDescent="0.2">
      <c r="A5" s="14" t="s">
        <v>1277</v>
      </c>
      <c r="B5" s="14" t="s">
        <v>1276</v>
      </c>
      <c r="C5" s="14" t="s">
        <v>1236</v>
      </c>
      <c r="D5" s="14" t="s">
        <v>84</v>
      </c>
    </row>
    <row r="6" spans="1:4" x14ac:dyDescent="0.2">
      <c r="A6" s="14" t="s">
        <v>1278</v>
      </c>
      <c r="B6" s="14" t="s">
        <v>1276</v>
      </c>
      <c r="C6" s="14" t="s">
        <v>1236</v>
      </c>
      <c r="D6" s="14" t="s">
        <v>84</v>
      </c>
    </row>
    <row r="7" spans="1:4" x14ac:dyDescent="0.2">
      <c r="A7" s="14" t="s">
        <v>1279</v>
      </c>
      <c r="B7" s="14" t="s">
        <v>1276</v>
      </c>
      <c r="C7" s="14" t="s">
        <v>1236</v>
      </c>
      <c r="D7" s="14" t="s">
        <v>84</v>
      </c>
    </row>
    <row r="8" spans="1:4" x14ac:dyDescent="0.2">
      <c r="A8" s="14" t="s">
        <v>1280</v>
      </c>
      <c r="B8" s="14" t="s">
        <v>1276</v>
      </c>
      <c r="C8" s="14" t="s">
        <v>1236</v>
      </c>
      <c r="D8" s="14" t="s">
        <v>84</v>
      </c>
    </row>
    <row r="9" spans="1:4" x14ac:dyDescent="0.2">
      <c r="A9" s="14" t="s">
        <v>1281</v>
      </c>
      <c r="B9" s="14" t="s">
        <v>1276</v>
      </c>
      <c r="C9" s="14" t="s">
        <v>1236</v>
      </c>
      <c r="D9" s="14" t="s">
        <v>84</v>
      </c>
    </row>
    <row r="10" spans="1:4" x14ac:dyDescent="0.2">
      <c r="A10" s="14" t="s">
        <v>1241</v>
      </c>
      <c r="B10" s="14" t="s">
        <v>1276</v>
      </c>
      <c r="C10" s="14" t="s">
        <v>1236</v>
      </c>
      <c r="D10" s="14" t="s">
        <v>84</v>
      </c>
    </row>
    <row r="11" spans="1:4" x14ac:dyDescent="0.2">
      <c r="A11" s="14" t="s">
        <v>1242</v>
      </c>
      <c r="B11" s="14" t="s">
        <v>1276</v>
      </c>
      <c r="C11" s="14" t="s">
        <v>1236</v>
      </c>
      <c r="D11" s="14" t="s">
        <v>84</v>
      </c>
    </row>
    <row r="12" spans="1:4" x14ac:dyDescent="0.2">
      <c r="A12" s="14" t="s">
        <v>1282</v>
      </c>
      <c r="B12" s="14" t="s">
        <v>1276</v>
      </c>
      <c r="C12" s="14" t="s">
        <v>1236</v>
      </c>
      <c r="D12" s="14" t="s">
        <v>84</v>
      </c>
    </row>
    <row r="13" spans="1:4" x14ac:dyDescent="0.2">
      <c r="A13" s="14" t="s">
        <v>1283</v>
      </c>
      <c r="B13" s="14" t="s">
        <v>1276</v>
      </c>
      <c r="C13" s="14" t="s">
        <v>1236</v>
      </c>
      <c r="D13" s="14" t="s">
        <v>84</v>
      </c>
    </row>
    <row r="14" spans="1:4" x14ac:dyDescent="0.2">
      <c r="A14" s="14" t="s">
        <v>1103</v>
      </c>
      <c r="B14" s="14" t="s">
        <v>1276</v>
      </c>
      <c r="C14" s="14" t="s">
        <v>1236</v>
      </c>
      <c r="D14" s="14" t="s">
        <v>84</v>
      </c>
    </row>
    <row r="15" spans="1:4" x14ac:dyDescent="0.2">
      <c r="A15" s="14" t="s">
        <v>1244</v>
      </c>
      <c r="B15" s="14" t="s">
        <v>1276</v>
      </c>
      <c r="C15" s="14" t="s">
        <v>1236</v>
      </c>
      <c r="D15" s="14" t="s">
        <v>84</v>
      </c>
    </row>
    <row r="16" spans="1:4" x14ac:dyDescent="0.2">
      <c r="A16" s="14" t="s">
        <v>1284</v>
      </c>
      <c r="B16" s="14" t="s">
        <v>1276</v>
      </c>
      <c r="C16" s="14" t="s">
        <v>1236</v>
      </c>
      <c r="D16" s="14" t="s">
        <v>84</v>
      </c>
    </row>
    <row r="17" spans="1:4" x14ac:dyDescent="0.2">
      <c r="A17" s="14" t="s">
        <v>1285</v>
      </c>
      <c r="B17" s="14" t="s">
        <v>1276</v>
      </c>
      <c r="C17" s="14" t="s">
        <v>1236</v>
      </c>
      <c r="D17" s="14" t="s">
        <v>84</v>
      </c>
    </row>
    <row r="18" spans="1:4" x14ac:dyDescent="0.2">
      <c r="A18" s="14" t="s">
        <v>1286</v>
      </c>
      <c r="B18" s="14" t="s">
        <v>1276</v>
      </c>
      <c r="C18" s="14" t="s">
        <v>1236</v>
      </c>
      <c r="D18" s="14" t="s">
        <v>84</v>
      </c>
    </row>
    <row r="19" spans="1:4" x14ac:dyDescent="0.2">
      <c r="A19" s="14" t="s">
        <v>1287</v>
      </c>
      <c r="B19" s="14" t="s">
        <v>1276</v>
      </c>
      <c r="C19" s="14" t="s">
        <v>1236</v>
      </c>
      <c r="D19" s="14" t="s">
        <v>84</v>
      </c>
    </row>
    <row r="20" spans="1:4" x14ac:dyDescent="0.2">
      <c r="A20" s="14" t="s">
        <v>1288</v>
      </c>
      <c r="B20" s="14" t="s">
        <v>1276</v>
      </c>
      <c r="C20" s="14" t="s">
        <v>1236</v>
      </c>
      <c r="D20" s="14" t="s">
        <v>84</v>
      </c>
    </row>
    <row r="21" spans="1:4" x14ac:dyDescent="0.2">
      <c r="A21" s="14" t="s">
        <v>1289</v>
      </c>
      <c r="B21" s="14" t="s">
        <v>1276</v>
      </c>
      <c r="C21" s="14" t="s">
        <v>1236</v>
      </c>
      <c r="D21" s="14" t="s">
        <v>84</v>
      </c>
    </row>
    <row r="22" spans="1:4" x14ac:dyDescent="0.2">
      <c r="A22" s="14" t="s">
        <v>1290</v>
      </c>
      <c r="B22" s="14" t="s">
        <v>1276</v>
      </c>
      <c r="C22" s="14" t="s">
        <v>1236</v>
      </c>
      <c r="D22" s="14" t="s">
        <v>84</v>
      </c>
    </row>
    <row r="23" spans="1:4" x14ac:dyDescent="0.2">
      <c r="A23" s="14" t="s">
        <v>1291</v>
      </c>
      <c r="B23" s="14" t="s">
        <v>1276</v>
      </c>
      <c r="C23" s="14" t="s">
        <v>1236</v>
      </c>
      <c r="D23" s="14" t="s">
        <v>84</v>
      </c>
    </row>
    <row r="24" spans="1:4" x14ac:dyDescent="0.2">
      <c r="A24" s="14" t="s">
        <v>1292</v>
      </c>
      <c r="B24" s="14" t="s">
        <v>1276</v>
      </c>
      <c r="C24" s="14" t="s">
        <v>1236</v>
      </c>
      <c r="D24" s="14" t="s">
        <v>84</v>
      </c>
    </row>
    <row r="25" spans="1:4" x14ac:dyDescent="0.2">
      <c r="A25" s="14" t="s">
        <v>1293</v>
      </c>
      <c r="B25" s="14" t="s">
        <v>1276</v>
      </c>
      <c r="C25" s="14" t="s">
        <v>1236</v>
      </c>
      <c r="D25" s="14" t="s">
        <v>84</v>
      </c>
    </row>
    <row r="26" spans="1:4" x14ac:dyDescent="0.2">
      <c r="A26" s="14" t="s">
        <v>1294</v>
      </c>
      <c r="B26" s="14" t="s">
        <v>1276</v>
      </c>
      <c r="C26" s="14" t="s">
        <v>1236</v>
      </c>
      <c r="D26" s="14" t="s">
        <v>84</v>
      </c>
    </row>
    <row r="27" spans="1:4" x14ac:dyDescent="0.2">
      <c r="A27" s="14" t="s">
        <v>1295</v>
      </c>
      <c r="B27" s="14" t="s">
        <v>1276</v>
      </c>
      <c r="C27" s="14" t="s">
        <v>1236</v>
      </c>
      <c r="D27" s="14" t="s">
        <v>84</v>
      </c>
    </row>
    <row r="28" spans="1:4" x14ac:dyDescent="0.2">
      <c r="A28" s="14" t="s">
        <v>1296</v>
      </c>
      <c r="B28" s="14" t="s">
        <v>1276</v>
      </c>
      <c r="C28" s="14" t="s">
        <v>1236</v>
      </c>
      <c r="D28" s="14" t="s">
        <v>84</v>
      </c>
    </row>
    <row r="29" spans="1:4" x14ac:dyDescent="0.2">
      <c r="A29" s="14" t="s">
        <v>1297</v>
      </c>
      <c r="B29" s="14" t="s">
        <v>1276</v>
      </c>
      <c r="C29" s="14" t="s">
        <v>1236</v>
      </c>
      <c r="D29" s="14" t="s">
        <v>84</v>
      </c>
    </row>
    <row r="30" spans="1:4" x14ac:dyDescent="0.2">
      <c r="A30" s="14" t="s">
        <v>1298</v>
      </c>
      <c r="B30" s="14" t="s">
        <v>1276</v>
      </c>
      <c r="C30" s="14" t="s">
        <v>1236</v>
      </c>
      <c r="D30" s="14" t="s">
        <v>84</v>
      </c>
    </row>
    <row r="31" spans="1:4" x14ac:dyDescent="0.2">
      <c r="A31" s="14" t="s">
        <v>1299</v>
      </c>
      <c r="B31" s="14" t="s">
        <v>1276</v>
      </c>
      <c r="C31" s="14" t="s">
        <v>1236</v>
      </c>
      <c r="D31" s="14" t="s">
        <v>84</v>
      </c>
    </row>
    <row r="32" spans="1:4" x14ac:dyDescent="0.2">
      <c r="A32" s="14" t="s">
        <v>1300</v>
      </c>
      <c r="B32" s="14" t="s">
        <v>1276</v>
      </c>
      <c r="C32" s="14" t="s">
        <v>1236</v>
      </c>
      <c r="D32" s="14" t="s">
        <v>84</v>
      </c>
    </row>
    <row r="33" spans="1:4" x14ac:dyDescent="0.2">
      <c r="A33" s="14" t="s">
        <v>1301</v>
      </c>
      <c r="B33" s="14" t="s">
        <v>1276</v>
      </c>
      <c r="C33" s="14" t="s">
        <v>1236</v>
      </c>
      <c r="D33" s="14" t="s">
        <v>84</v>
      </c>
    </row>
    <row r="34" spans="1:4" x14ac:dyDescent="0.2">
      <c r="A34" s="14" t="s">
        <v>1302</v>
      </c>
      <c r="B34" s="14" t="s">
        <v>1276</v>
      </c>
      <c r="C34" s="14" t="s">
        <v>1236</v>
      </c>
      <c r="D34" s="14" t="s">
        <v>84</v>
      </c>
    </row>
    <row r="35" spans="1:4" x14ac:dyDescent="0.2">
      <c r="A35" s="14" t="s">
        <v>1303</v>
      </c>
      <c r="B35" s="14" t="s">
        <v>1276</v>
      </c>
      <c r="C35" s="14" t="s">
        <v>1236</v>
      </c>
      <c r="D35" s="14" t="s">
        <v>84</v>
      </c>
    </row>
    <row r="36" spans="1:4" x14ac:dyDescent="0.2">
      <c r="A36" s="14" t="s">
        <v>1304</v>
      </c>
      <c r="B36" s="14" t="s">
        <v>1276</v>
      </c>
      <c r="C36" s="14" t="s">
        <v>1236</v>
      </c>
      <c r="D36" s="14" t="s">
        <v>84</v>
      </c>
    </row>
    <row r="37" spans="1:4" x14ac:dyDescent="0.2">
      <c r="A37" s="14" t="s">
        <v>1305</v>
      </c>
      <c r="B37" s="14" t="s">
        <v>1276</v>
      </c>
      <c r="C37" s="14" t="s">
        <v>1236</v>
      </c>
      <c r="D37" s="14" t="s">
        <v>84</v>
      </c>
    </row>
    <row r="38" spans="1:4" x14ac:dyDescent="0.2">
      <c r="A38" s="14" t="s">
        <v>1306</v>
      </c>
      <c r="B38" s="14" t="s">
        <v>1276</v>
      </c>
      <c r="C38" s="14" t="s">
        <v>1236</v>
      </c>
      <c r="D38" s="14" t="s">
        <v>84</v>
      </c>
    </row>
    <row r="39" spans="1:4" x14ac:dyDescent="0.2">
      <c r="A39" s="14" t="s">
        <v>1307</v>
      </c>
      <c r="B39" s="14" t="s">
        <v>1276</v>
      </c>
      <c r="C39" s="14" t="s">
        <v>1236</v>
      </c>
      <c r="D39" s="14" t="s">
        <v>84</v>
      </c>
    </row>
    <row r="40" spans="1:4" x14ac:dyDescent="0.2">
      <c r="A40" s="14" t="s">
        <v>1308</v>
      </c>
      <c r="B40" s="14" t="s">
        <v>1276</v>
      </c>
      <c r="C40" s="14" t="s">
        <v>1236</v>
      </c>
      <c r="D40" s="14" t="s">
        <v>84</v>
      </c>
    </row>
    <row r="41" spans="1:4" x14ac:dyDescent="0.2">
      <c r="A41" s="14" t="s">
        <v>1309</v>
      </c>
      <c r="B41" s="14" t="s">
        <v>1276</v>
      </c>
      <c r="C41" s="14" t="s">
        <v>1236</v>
      </c>
      <c r="D41" s="14" t="s">
        <v>84</v>
      </c>
    </row>
    <row r="42" spans="1:4" x14ac:dyDescent="0.2">
      <c r="A42" s="14" t="s">
        <v>1310</v>
      </c>
      <c r="B42" s="14" t="s">
        <v>1276</v>
      </c>
      <c r="C42" s="14" t="s">
        <v>1236</v>
      </c>
      <c r="D42" s="14" t="s">
        <v>84</v>
      </c>
    </row>
    <row r="43" spans="1:4" x14ac:dyDescent="0.2">
      <c r="A43" s="14" t="s">
        <v>1311</v>
      </c>
      <c r="B43" s="14" t="s">
        <v>1276</v>
      </c>
      <c r="C43" s="14" t="s">
        <v>1236</v>
      </c>
      <c r="D43" s="14" t="s">
        <v>84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7"/>
  <sheetViews>
    <sheetView workbookViewId="0"/>
  </sheetViews>
  <sheetFormatPr defaultRowHeight="15" x14ac:dyDescent="0.2"/>
  <cols>
    <col min="1" max="3" width="23.9453125" style="38" customWidth="1"/>
  </cols>
  <sheetData>
    <row r="1" spans="1:3" ht="59.25" customHeight="1" x14ac:dyDescent="0.3">
      <c r="A1" s="15" t="s">
        <v>1312</v>
      </c>
      <c r="B1" s="15"/>
      <c r="C1" s="15"/>
    </row>
    <row r="3" spans="1:3" x14ac:dyDescent="0.2">
      <c r="A3" s="16" t="s">
        <v>35</v>
      </c>
      <c r="B3" s="16" t="s">
        <v>373</v>
      </c>
      <c r="C3" s="16" t="s">
        <v>40</v>
      </c>
    </row>
    <row r="4" spans="1:3" ht="41.25" customHeight="1" x14ac:dyDescent="0.2">
      <c r="A4" s="14" t="s">
        <v>441</v>
      </c>
      <c r="B4" s="14" t="s">
        <v>236</v>
      </c>
      <c r="C4" s="14" t="s">
        <v>1313</v>
      </c>
    </row>
    <row r="5" spans="1:3" ht="41.25" customHeight="1" x14ac:dyDescent="0.2">
      <c r="A5" s="14" t="s">
        <v>1066</v>
      </c>
      <c r="B5" s="14" t="s">
        <v>264</v>
      </c>
      <c r="C5" s="14" t="s">
        <v>1314</v>
      </c>
    </row>
    <row r="6" spans="1:3" ht="27.75" customHeight="1" x14ac:dyDescent="0.2">
      <c r="A6" s="14" t="s">
        <v>1315</v>
      </c>
      <c r="B6" s="14" t="s">
        <v>375</v>
      </c>
      <c r="C6" s="14" t="s">
        <v>1316</v>
      </c>
    </row>
    <row r="7" spans="1:3" ht="41.25" customHeight="1" x14ac:dyDescent="0.2">
      <c r="A7" s="14" t="s">
        <v>444</v>
      </c>
      <c r="B7" s="14" t="s">
        <v>1317</v>
      </c>
      <c r="C7" s="14" t="s">
        <v>1318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11"/>
  <sheetViews>
    <sheetView workbookViewId="0"/>
  </sheetViews>
  <sheetFormatPr defaultRowHeight="15" x14ac:dyDescent="0.2"/>
  <cols>
    <col min="1" max="3" width="23.9453125" style="38" customWidth="1"/>
  </cols>
  <sheetData>
    <row r="1" spans="1:3" ht="21" customHeight="1" x14ac:dyDescent="0.3">
      <c r="A1" s="17" t="s">
        <v>910</v>
      </c>
      <c r="B1" s="17"/>
      <c r="C1" s="17"/>
    </row>
    <row r="3" spans="1:3" x14ac:dyDescent="0.2">
      <c r="A3" s="18" t="s">
        <v>35</v>
      </c>
      <c r="B3" s="18" t="s">
        <v>39</v>
      </c>
      <c r="C3" s="18" t="s">
        <v>1057</v>
      </c>
    </row>
    <row r="4" spans="1:3" x14ac:dyDescent="0.2">
      <c r="A4" s="14" t="s">
        <v>1041</v>
      </c>
      <c r="B4" s="14" t="s">
        <v>1067</v>
      </c>
      <c r="C4" s="14" t="s">
        <v>1229</v>
      </c>
    </row>
    <row r="5" spans="1:3" x14ac:dyDescent="0.2">
      <c r="A5" s="14" t="s">
        <v>975</v>
      </c>
      <c r="B5" s="14" t="s">
        <v>264</v>
      </c>
      <c r="C5" s="14" t="s">
        <v>1319</v>
      </c>
    </row>
    <row r="6" spans="1:3" x14ac:dyDescent="0.2">
      <c r="A6" s="14" t="s">
        <v>958</v>
      </c>
      <c r="B6" s="14" t="s">
        <v>264</v>
      </c>
      <c r="C6" s="14" t="s">
        <v>1320</v>
      </c>
    </row>
    <row r="7" spans="1:3" x14ac:dyDescent="0.2">
      <c r="A7" s="14" t="s">
        <v>976</v>
      </c>
      <c r="B7" s="14" t="s">
        <v>264</v>
      </c>
      <c r="C7" s="14" t="s">
        <v>1321</v>
      </c>
    </row>
    <row r="8" spans="1:3" x14ac:dyDescent="0.2">
      <c r="A8" s="14" t="s">
        <v>151</v>
      </c>
      <c r="B8" s="14" t="s">
        <v>264</v>
      </c>
      <c r="C8" s="14" t="s">
        <v>1322</v>
      </c>
    </row>
    <row r="9" spans="1:3" ht="27.75" customHeight="1" x14ac:dyDescent="0.2">
      <c r="A9" s="14" t="s">
        <v>1323</v>
      </c>
      <c r="B9" s="14" t="s">
        <v>1324</v>
      </c>
      <c r="C9" s="14" t="s">
        <v>1325</v>
      </c>
    </row>
    <row r="10" spans="1:3" ht="27.75" customHeight="1" x14ac:dyDescent="0.2">
      <c r="A10" s="14" t="s">
        <v>279</v>
      </c>
      <c r="B10" s="14" t="s">
        <v>1324</v>
      </c>
      <c r="C10" s="14" t="s">
        <v>1326</v>
      </c>
    </row>
    <row r="11" spans="1:3" ht="27.75" customHeight="1" x14ac:dyDescent="0.2">
      <c r="A11" s="14" t="s">
        <v>1327</v>
      </c>
      <c r="B11" s="14" t="s">
        <v>84</v>
      </c>
      <c r="C11" s="14" t="s">
        <v>1328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7"/>
  <sheetViews>
    <sheetView workbookViewId="0"/>
  </sheetViews>
  <sheetFormatPr defaultRowHeight="15" x14ac:dyDescent="0.2"/>
  <cols>
    <col min="1" max="4" width="23.9453125" style="38" customWidth="1"/>
  </cols>
  <sheetData>
    <row r="1" spans="1:4" ht="39.75" customHeight="1" x14ac:dyDescent="0.3">
      <c r="A1" s="17" t="s">
        <v>1329</v>
      </c>
      <c r="B1" s="17"/>
      <c r="C1" s="17"/>
      <c r="D1" s="17"/>
    </row>
    <row r="3" spans="1:4" x14ac:dyDescent="0.2">
      <c r="A3" s="18" t="s">
        <v>787</v>
      </c>
      <c r="B3" s="18" t="s">
        <v>753</v>
      </c>
      <c r="C3" s="18" t="s">
        <v>1330</v>
      </c>
      <c r="D3" s="18" t="s">
        <v>40</v>
      </c>
    </row>
    <row r="4" spans="1:4" ht="27.75" customHeight="1" x14ac:dyDescent="0.2">
      <c r="A4" s="14" t="s">
        <v>1331</v>
      </c>
      <c r="B4" s="14" t="s">
        <v>1332</v>
      </c>
      <c r="C4" s="14" t="s">
        <v>1333</v>
      </c>
      <c r="D4" s="14" t="s">
        <v>1221</v>
      </c>
    </row>
    <row r="5" spans="1:4" ht="27.75" customHeight="1" x14ac:dyDescent="0.2">
      <c r="A5" s="14" t="s">
        <v>182</v>
      </c>
      <c r="B5" s="14" t="s">
        <v>1334</v>
      </c>
      <c r="C5" s="14" t="s">
        <v>1335</v>
      </c>
      <c r="D5" s="14" t="s">
        <v>1336</v>
      </c>
    </row>
    <row r="6" spans="1:4" ht="27.75" customHeight="1" x14ac:dyDescent="0.2">
      <c r="A6" s="14" t="s">
        <v>188</v>
      </c>
      <c r="B6" s="14" t="s">
        <v>1337</v>
      </c>
      <c r="C6" s="14" t="s">
        <v>1335</v>
      </c>
      <c r="D6" s="14" t="s">
        <v>1336</v>
      </c>
    </row>
    <row r="7" spans="1:4" x14ac:dyDescent="0.2">
      <c r="A7" s="14" t="s">
        <v>1041</v>
      </c>
      <c r="B7" s="14" t="s">
        <v>1338</v>
      </c>
      <c r="C7" s="14" t="s">
        <v>1339</v>
      </c>
      <c r="D7" s="14" t="s">
        <v>1340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45"/>
  <sheetViews>
    <sheetView workbookViewId="0"/>
  </sheetViews>
  <sheetFormatPr defaultRowHeight="15" x14ac:dyDescent="0.2"/>
  <cols>
    <col min="1" max="4" width="23.9453125" style="38" customWidth="1"/>
  </cols>
  <sheetData>
    <row r="1" spans="1:4" ht="39.75" customHeight="1" x14ac:dyDescent="0.3">
      <c r="A1" s="17" t="s">
        <v>1341</v>
      </c>
      <c r="B1" s="17"/>
      <c r="C1" s="17"/>
      <c r="D1" s="17"/>
    </row>
    <row r="3" spans="1:4" x14ac:dyDescent="0.2">
      <c r="A3" s="18" t="s">
        <v>1342</v>
      </c>
      <c r="B3" s="18" t="s">
        <v>753</v>
      </c>
      <c r="C3" s="18" t="s">
        <v>818</v>
      </c>
      <c r="D3" s="18" t="s">
        <v>1234</v>
      </c>
    </row>
    <row r="4" spans="1:4" x14ac:dyDescent="0.2">
      <c r="A4" s="14" t="s">
        <v>1155</v>
      </c>
      <c r="B4" s="14" t="s">
        <v>1343</v>
      </c>
      <c r="C4" s="14" t="s">
        <v>1344</v>
      </c>
      <c r="D4" s="14" t="s">
        <v>1345</v>
      </c>
    </row>
    <row r="5" spans="1:4" x14ac:dyDescent="0.2">
      <c r="A5" s="14" t="s">
        <v>1237</v>
      </c>
      <c r="B5" s="14" t="s">
        <v>1343</v>
      </c>
      <c r="C5" s="14" t="s">
        <v>1344</v>
      </c>
      <c r="D5" s="14" t="s">
        <v>1345</v>
      </c>
    </row>
    <row r="6" spans="1:4" x14ac:dyDescent="0.2">
      <c r="A6" s="14" t="s">
        <v>1238</v>
      </c>
      <c r="B6" s="14" t="s">
        <v>1343</v>
      </c>
      <c r="C6" s="14" t="s">
        <v>1344</v>
      </c>
      <c r="D6" s="14" t="s">
        <v>1345</v>
      </c>
    </row>
    <row r="7" spans="1:4" x14ac:dyDescent="0.2">
      <c r="A7" s="14" t="s">
        <v>1239</v>
      </c>
      <c r="B7" s="14" t="s">
        <v>1343</v>
      </c>
      <c r="C7" s="14" t="s">
        <v>1344</v>
      </c>
      <c r="D7" s="14" t="s">
        <v>1345</v>
      </c>
    </row>
    <row r="8" spans="1:4" x14ac:dyDescent="0.2">
      <c r="A8" s="14" t="s">
        <v>1240</v>
      </c>
      <c r="B8" s="14" t="s">
        <v>1343</v>
      </c>
      <c r="C8" s="14" t="s">
        <v>1344</v>
      </c>
      <c r="D8" s="14" t="s">
        <v>1345</v>
      </c>
    </row>
    <row r="9" spans="1:4" x14ac:dyDescent="0.2">
      <c r="A9" s="14" t="s">
        <v>1241</v>
      </c>
      <c r="B9" s="14" t="s">
        <v>1343</v>
      </c>
      <c r="C9" s="14" t="s">
        <v>1344</v>
      </c>
      <c r="D9" s="14" t="s">
        <v>1345</v>
      </c>
    </row>
    <row r="10" spans="1:4" x14ac:dyDescent="0.2">
      <c r="A10" s="14" t="s">
        <v>1242</v>
      </c>
      <c r="B10" s="14" t="s">
        <v>1343</v>
      </c>
      <c r="C10" s="14" t="s">
        <v>1344</v>
      </c>
      <c r="D10" s="14" t="s">
        <v>1345</v>
      </c>
    </row>
    <row r="11" spans="1:4" x14ac:dyDescent="0.2">
      <c r="A11" s="14" t="s">
        <v>1243</v>
      </c>
      <c r="B11" s="14" t="s">
        <v>1343</v>
      </c>
      <c r="C11" s="14" t="s">
        <v>1344</v>
      </c>
      <c r="D11" s="14" t="s">
        <v>1345</v>
      </c>
    </row>
    <row r="12" spans="1:4" x14ac:dyDescent="0.2">
      <c r="A12" s="14" t="s">
        <v>1103</v>
      </c>
      <c r="B12" s="14" t="s">
        <v>1343</v>
      </c>
      <c r="C12" s="14" t="s">
        <v>1344</v>
      </c>
      <c r="D12" s="14" t="s">
        <v>1345</v>
      </c>
    </row>
    <row r="13" spans="1:4" x14ac:dyDescent="0.2">
      <c r="A13" s="14" t="s">
        <v>1244</v>
      </c>
      <c r="B13" s="14" t="s">
        <v>1343</v>
      </c>
      <c r="C13" s="14" t="s">
        <v>1344</v>
      </c>
      <c r="D13" s="14" t="s">
        <v>1345</v>
      </c>
    </row>
    <row r="14" spans="1:4" x14ac:dyDescent="0.2">
      <c r="A14" s="14" t="s">
        <v>1245</v>
      </c>
      <c r="B14" s="14" t="s">
        <v>1343</v>
      </c>
      <c r="C14" s="14" t="s">
        <v>1344</v>
      </c>
      <c r="D14" s="14" t="s">
        <v>1345</v>
      </c>
    </row>
    <row r="15" spans="1:4" x14ac:dyDescent="0.2">
      <c r="A15" s="14" t="s">
        <v>1246</v>
      </c>
      <c r="B15" s="14" t="s">
        <v>1343</v>
      </c>
      <c r="C15" s="14" t="s">
        <v>1344</v>
      </c>
      <c r="D15" s="14" t="s">
        <v>1345</v>
      </c>
    </row>
    <row r="16" spans="1:4" x14ac:dyDescent="0.2">
      <c r="A16" s="14" t="s">
        <v>1247</v>
      </c>
      <c r="B16" s="14" t="s">
        <v>1343</v>
      </c>
      <c r="C16" s="14" t="s">
        <v>1344</v>
      </c>
      <c r="D16" s="14" t="s">
        <v>1345</v>
      </c>
    </row>
    <row r="17" spans="1:4" x14ac:dyDescent="0.2">
      <c r="A17" s="14" t="s">
        <v>1248</v>
      </c>
      <c r="B17" s="14" t="s">
        <v>1343</v>
      </c>
      <c r="C17" s="14" t="s">
        <v>1344</v>
      </c>
      <c r="D17" s="14" t="s">
        <v>1345</v>
      </c>
    </row>
    <row r="18" spans="1:4" x14ac:dyDescent="0.2">
      <c r="A18" s="14" t="s">
        <v>1249</v>
      </c>
      <c r="B18" s="14" t="s">
        <v>1343</v>
      </c>
      <c r="C18" s="14" t="s">
        <v>1344</v>
      </c>
      <c r="D18" s="14" t="s">
        <v>1345</v>
      </c>
    </row>
    <row r="19" spans="1:4" x14ac:dyDescent="0.2">
      <c r="A19" s="14" t="s">
        <v>1250</v>
      </c>
      <c r="B19" s="14" t="s">
        <v>1343</v>
      </c>
      <c r="C19" s="14" t="s">
        <v>1344</v>
      </c>
      <c r="D19" s="14" t="s">
        <v>1345</v>
      </c>
    </row>
    <row r="20" spans="1:4" x14ac:dyDescent="0.2">
      <c r="A20" s="14" t="s">
        <v>1251</v>
      </c>
      <c r="B20" s="14" t="s">
        <v>1343</v>
      </c>
      <c r="C20" s="14" t="s">
        <v>1344</v>
      </c>
      <c r="D20" s="14" t="s">
        <v>1345</v>
      </c>
    </row>
    <row r="21" spans="1:4" x14ac:dyDescent="0.2">
      <c r="A21" s="14" t="s">
        <v>1252</v>
      </c>
      <c r="B21" s="14" t="s">
        <v>1343</v>
      </c>
      <c r="C21" s="14" t="s">
        <v>1344</v>
      </c>
      <c r="D21" s="14" t="s">
        <v>1345</v>
      </c>
    </row>
    <row r="22" spans="1:4" x14ac:dyDescent="0.2">
      <c r="A22" s="14" t="s">
        <v>1253</v>
      </c>
      <c r="B22" s="14" t="s">
        <v>1343</v>
      </c>
      <c r="C22" s="14" t="s">
        <v>1344</v>
      </c>
      <c r="D22" s="14" t="s">
        <v>1345</v>
      </c>
    </row>
    <row r="23" spans="1:4" x14ac:dyDescent="0.2">
      <c r="A23" s="14" t="s">
        <v>1254</v>
      </c>
      <c r="B23" s="14" t="s">
        <v>1343</v>
      </c>
      <c r="C23" s="14" t="s">
        <v>1344</v>
      </c>
      <c r="D23" s="14" t="s">
        <v>1345</v>
      </c>
    </row>
    <row r="24" spans="1:4" x14ac:dyDescent="0.2">
      <c r="A24" s="14" t="s">
        <v>1255</v>
      </c>
      <c r="B24" s="14" t="s">
        <v>1343</v>
      </c>
      <c r="C24" s="14" t="s">
        <v>1344</v>
      </c>
      <c r="D24" s="14" t="s">
        <v>1345</v>
      </c>
    </row>
    <row r="25" spans="1:4" x14ac:dyDescent="0.2">
      <c r="A25" s="14" t="s">
        <v>1256</v>
      </c>
      <c r="B25" s="14" t="s">
        <v>1343</v>
      </c>
      <c r="C25" s="14" t="s">
        <v>1344</v>
      </c>
      <c r="D25" s="14" t="s">
        <v>1345</v>
      </c>
    </row>
    <row r="26" spans="1:4" x14ac:dyDescent="0.2">
      <c r="A26" s="14" t="s">
        <v>1257</v>
      </c>
      <c r="B26" s="14" t="s">
        <v>1343</v>
      </c>
      <c r="C26" s="14" t="s">
        <v>1344</v>
      </c>
      <c r="D26" s="14" t="s">
        <v>1345</v>
      </c>
    </row>
    <row r="27" spans="1:4" x14ac:dyDescent="0.2">
      <c r="A27" s="14" t="s">
        <v>1258</v>
      </c>
      <c r="B27" s="14" t="s">
        <v>1343</v>
      </c>
      <c r="C27" s="14" t="s">
        <v>1344</v>
      </c>
      <c r="D27" s="14" t="s">
        <v>1345</v>
      </c>
    </row>
    <row r="28" spans="1:4" x14ac:dyDescent="0.2">
      <c r="A28" s="14" t="s">
        <v>1259</v>
      </c>
      <c r="B28" s="14" t="s">
        <v>1343</v>
      </c>
      <c r="C28" s="14" t="s">
        <v>1344</v>
      </c>
      <c r="D28" s="14" t="s">
        <v>1345</v>
      </c>
    </row>
    <row r="29" spans="1:4" x14ac:dyDescent="0.2">
      <c r="A29" s="14" t="s">
        <v>1260</v>
      </c>
      <c r="B29" s="14" t="s">
        <v>1343</v>
      </c>
      <c r="C29" s="14" t="s">
        <v>1344</v>
      </c>
      <c r="D29" s="14" t="s">
        <v>1345</v>
      </c>
    </row>
    <row r="30" spans="1:4" x14ac:dyDescent="0.2">
      <c r="A30" s="14" t="s">
        <v>1261</v>
      </c>
      <c r="B30" s="14" t="s">
        <v>1343</v>
      </c>
      <c r="C30" s="14" t="s">
        <v>1344</v>
      </c>
      <c r="D30" s="14" t="s">
        <v>1345</v>
      </c>
    </row>
    <row r="31" spans="1:4" x14ac:dyDescent="0.2">
      <c r="A31" s="14" t="s">
        <v>1262</v>
      </c>
      <c r="B31" s="14" t="s">
        <v>1343</v>
      </c>
      <c r="C31" s="14" t="s">
        <v>1344</v>
      </c>
      <c r="D31" s="14" t="s">
        <v>1345</v>
      </c>
    </row>
    <row r="32" spans="1:4" x14ac:dyDescent="0.2">
      <c r="A32" s="14" t="s">
        <v>1263</v>
      </c>
      <c r="B32" s="14" t="s">
        <v>1343</v>
      </c>
      <c r="C32" s="14" t="s">
        <v>1344</v>
      </c>
      <c r="D32" s="14" t="s">
        <v>1345</v>
      </c>
    </row>
    <row r="33" spans="1:4" x14ac:dyDescent="0.2">
      <c r="A33" s="14" t="s">
        <v>1264</v>
      </c>
      <c r="B33" s="14" t="s">
        <v>1343</v>
      </c>
      <c r="C33" s="14" t="s">
        <v>1344</v>
      </c>
      <c r="D33" s="14" t="s">
        <v>1345</v>
      </c>
    </row>
    <row r="34" spans="1:4" x14ac:dyDescent="0.2">
      <c r="A34" s="14" t="s">
        <v>1265</v>
      </c>
      <c r="B34" s="14" t="s">
        <v>1343</v>
      </c>
      <c r="C34" s="14" t="s">
        <v>1344</v>
      </c>
      <c r="D34" s="14" t="s">
        <v>1345</v>
      </c>
    </row>
    <row r="35" spans="1:4" x14ac:dyDescent="0.2">
      <c r="A35" s="14" t="s">
        <v>1266</v>
      </c>
      <c r="B35" s="14" t="s">
        <v>1343</v>
      </c>
      <c r="C35" s="14" t="s">
        <v>1344</v>
      </c>
      <c r="D35" s="14" t="s">
        <v>1345</v>
      </c>
    </row>
    <row r="36" spans="1:4" x14ac:dyDescent="0.2">
      <c r="A36" s="14" t="s">
        <v>1267</v>
      </c>
      <c r="B36" s="14" t="s">
        <v>1343</v>
      </c>
      <c r="C36" s="14" t="s">
        <v>1344</v>
      </c>
      <c r="D36" s="14" t="s">
        <v>1345</v>
      </c>
    </row>
    <row r="37" spans="1:4" x14ac:dyDescent="0.2">
      <c r="A37" s="14" t="s">
        <v>1268</v>
      </c>
      <c r="B37" s="14" t="s">
        <v>1343</v>
      </c>
      <c r="C37" s="14" t="s">
        <v>1344</v>
      </c>
      <c r="D37" s="14" t="s">
        <v>1345</v>
      </c>
    </row>
    <row r="38" spans="1:4" x14ac:dyDescent="0.2">
      <c r="A38" s="14" t="s">
        <v>1269</v>
      </c>
      <c r="B38" s="14" t="s">
        <v>1343</v>
      </c>
      <c r="C38" s="14" t="s">
        <v>1344</v>
      </c>
      <c r="D38" s="14" t="s">
        <v>1345</v>
      </c>
    </row>
    <row r="39" spans="1:4" x14ac:dyDescent="0.2">
      <c r="A39" s="14" t="s">
        <v>1270</v>
      </c>
      <c r="B39" s="14" t="s">
        <v>1343</v>
      </c>
      <c r="C39" s="14" t="s">
        <v>1344</v>
      </c>
      <c r="D39" s="14" t="s">
        <v>1345</v>
      </c>
    </row>
    <row r="40" spans="1:4" x14ac:dyDescent="0.2">
      <c r="A40" s="14" t="s">
        <v>1271</v>
      </c>
      <c r="B40" s="14" t="s">
        <v>1343</v>
      </c>
      <c r="C40" s="14" t="s">
        <v>1344</v>
      </c>
      <c r="D40" s="14" t="s">
        <v>1345</v>
      </c>
    </row>
    <row r="41" spans="1:4" x14ac:dyDescent="0.2">
      <c r="A41" s="14" t="s">
        <v>1272</v>
      </c>
      <c r="B41" s="14" t="s">
        <v>1343</v>
      </c>
      <c r="C41" s="14" t="s">
        <v>1344</v>
      </c>
      <c r="D41" s="14" t="s">
        <v>1345</v>
      </c>
    </row>
    <row r="42" spans="1:4" x14ac:dyDescent="0.2">
      <c r="A42" s="14" t="s">
        <v>1273</v>
      </c>
      <c r="B42" s="14" t="s">
        <v>1343</v>
      </c>
      <c r="C42" s="14" t="s">
        <v>1344</v>
      </c>
      <c r="D42" s="14" t="s">
        <v>1345</v>
      </c>
    </row>
    <row r="43" spans="1:4" x14ac:dyDescent="0.2">
      <c r="A43" s="14" t="s">
        <v>1274</v>
      </c>
      <c r="B43" s="14" t="s">
        <v>1343</v>
      </c>
      <c r="C43" s="14" t="s">
        <v>1344</v>
      </c>
      <c r="D43" s="14" t="s">
        <v>1345</v>
      </c>
    </row>
    <row r="44" spans="1:4" x14ac:dyDescent="0.2">
      <c r="A44" s="14" t="s">
        <v>1346</v>
      </c>
      <c r="B44" s="14" t="s">
        <v>1343</v>
      </c>
      <c r="C44" s="14" t="s">
        <v>1344</v>
      </c>
      <c r="D44" s="14" t="s">
        <v>1345</v>
      </c>
    </row>
    <row r="45" spans="1:4" x14ac:dyDescent="0.2">
      <c r="A45" s="14" t="s">
        <v>1347</v>
      </c>
      <c r="B45" s="14" t="s">
        <v>1343</v>
      </c>
      <c r="C45" s="14" t="s">
        <v>1344</v>
      </c>
      <c r="D45" s="14" t="s">
        <v>1345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47"/>
  <sheetViews>
    <sheetView workbookViewId="0"/>
  </sheetViews>
  <sheetFormatPr defaultRowHeight="15" x14ac:dyDescent="0.2"/>
  <cols>
    <col min="1" max="4" width="23.9453125" style="38" customWidth="1"/>
  </cols>
  <sheetData>
    <row r="1" spans="1:4" ht="39.75" customHeight="1" x14ac:dyDescent="0.3">
      <c r="A1" s="17" t="s">
        <v>1348</v>
      </c>
      <c r="B1" s="17"/>
      <c r="C1" s="17"/>
      <c r="D1" s="17"/>
    </row>
    <row r="3" spans="1:4" x14ac:dyDescent="0.2">
      <c r="A3" s="18" t="s">
        <v>1349</v>
      </c>
      <c r="B3" s="18" t="s">
        <v>753</v>
      </c>
      <c r="C3" s="18" t="s">
        <v>818</v>
      </c>
      <c r="D3" s="18" t="s">
        <v>1234</v>
      </c>
    </row>
    <row r="4" spans="1:4" x14ac:dyDescent="0.2">
      <c r="A4" s="14" t="s">
        <v>1155</v>
      </c>
      <c r="B4" s="14" t="s">
        <v>1350</v>
      </c>
      <c r="C4" s="14" t="s">
        <v>1344</v>
      </c>
      <c r="D4" s="14" t="s">
        <v>1345</v>
      </c>
    </row>
    <row r="5" spans="1:4" x14ac:dyDescent="0.2">
      <c r="A5" s="14" t="s">
        <v>1277</v>
      </c>
      <c r="B5" s="14" t="s">
        <v>1350</v>
      </c>
      <c r="C5" s="14" t="s">
        <v>1344</v>
      </c>
      <c r="D5" s="14" t="s">
        <v>1345</v>
      </c>
    </row>
    <row r="6" spans="1:4" x14ac:dyDescent="0.2">
      <c r="A6" s="14" t="s">
        <v>1278</v>
      </c>
      <c r="B6" s="14" t="s">
        <v>1350</v>
      </c>
      <c r="C6" s="14" t="s">
        <v>1344</v>
      </c>
      <c r="D6" s="14" t="s">
        <v>1345</v>
      </c>
    </row>
    <row r="7" spans="1:4" x14ac:dyDescent="0.2">
      <c r="A7" s="14" t="s">
        <v>1279</v>
      </c>
      <c r="B7" s="14" t="s">
        <v>1350</v>
      </c>
      <c r="C7" s="14" t="s">
        <v>1344</v>
      </c>
      <c r="D7" s="14" t="s">
        <v>1345</v>
      </c>
    </row>
    <row r="8" spans="1:4" x14ac:dyDescent="0.2">
      <c r="A8" s="14" t="s">
        <v>1280</v>
      </c>
      <c r="B8" s="14" t="s">
        <v>1350</v>
      </c>
      <c r="C8" s="14" t="s">
        <v>1344</v>
      </c>
      <c r="D8" s="14" t="s">
        <v>1345</v>
      </c>
    </row>
    <row r="9" spans="1:4" x14ac:dyDescent="0.2">
      <c r="A9" s="14" t="s">
        <v>1281</v>
      </c>
      <c r="B9" s="14" t="s">
        <v>1350</v>
      </c>
      <c r="C9" s="14" t="s">
        <v>1344</v>
      </c>
      <c r="D9" s="14" t="s">
        <v>1345</v>
      </c>
    </row>
    <row r="10" spans="1:4" x14ac:dyDescent="0.2">
      <c r="A10" s="14" t="s">
        <v>1241</v>
      </c>
      <c r="B10" s="14" t="s">
        <v>1350</v>
      </c>
      <c r="C10" s="14" t="s">
        <v>1344</v>
      </c>
      <c r="D10" s="14" t="s">
        <v>1345</v>
      </c>
    </row>
    <row r="11" spans="1:4" x14ac:dyDescent="0.2">
      <c r="A11" s="14" t="s">
        <v>1242</v>
      </c>
      <c r="B11" s="14" t="s">
        <v>1350</v>
      </c>
      <c r="C11" s="14" t="s">
        <v>1344</v>
      </c>
      <c r="D11" s="14" t="s">
        <v>1345</v>
      </c>
    </row>
    <row r="12" spans="1:4" x14ac:dyDescent="0.2">
      <c r="A12" s="14" t="s">
        <v>1282</v>
      </c>
      <c r="B12" s="14" t="s">
        <v>1350</v>
      </c>
      <c r="C12" s="14" t="s">
        <v>1344</v>
      </c>
      <c r="D12" s="14" t="s">
        <v>1345</v>
      </c>
    </row>
    <row r="13" spans="1:4" x14ac:dyDescent="0.2">
      <c r="A13" s="14" t="s">
        <v>1283</v>
      </c>
      <c r="B13" s="14" t="s">
        <v>1350</v>
      </c>
      <c r="C13" s="14" t="s">
        <v>1344</v>
      </c>
      <c r="D13" s="14" t="s">
        <v>1345</v>
      </c>
    </row>
    <row r="14" spans="1:4" x14ac:dyDescent="0.2">
      <c r="A14" s="14" t="s">
        <v>1103</v>
      </c>
      <c r="B14" s="14" t="s">
        <v>1350</v>
      </c>
      <c r="C14" s="14" t="s">
        <v>1344</v>
      </c>
      <c r="D14" s="14" t="s">
        <v>1345</v>
      </c>
    </row>
    <row r="15" spans="1:4" x14ac:dyDescent="0.2">
      <c r="A15" s="14" t="s">
        <v>1244</v>
      </c>
      <c r="B15" s="14" t="s">
        <v>1350</v>
      </c>
      <c r="C15" s="14" t="s">
        <v>1344</v>
      </c>
      <c r="D15" s="14" t="s">
        <v>1345</v>
      </c>
    </row>
    <row r="16" spans="1:4" x14ac:dyDescent="0.2">
      <c r="A16" s="14" t="s">
        <v>1284</v>
      </c>
      <c r="B16" s="14" t="s">
        <v>1350</v>
      </c>
      <c r="C16" s="14" t="s">
        <v>1344</v>
      </c>
      <c r="D16" s="14" t="s">
        <v>1345</v>
      </c>
    </row>
    <row r="17" spans="1:4" x14ac:dyDescent="0.2">
      <c r="A17" s="14" t="s">
        <v>1285</v>
      </c>
      <c r="B17" s="14" t="s">
        <v>1350</v>
      </c>
      <c r="C17" s="14" t="s">
        <v>1344</v>
      </c>
      <c r="D17" s="14" t="s">
        <v>1345</v>
      </c>
    </row>
    <row r="18" spans="1:4" x14ac:dyDescent="0.2">
      <c r="A18" s="14" t="s">
        <v>1286</v>
      </c>
      <c r="B18" s="14" t="s">
        <v>1350</v>
      </c>
      <c r="C18" s="14" t="s">
        <v>1344</v>
      </c>
      <c r="D18" s="14" t="s">
        <v>1345</v>
      </c>
    </row>
    <row r="19" spans="1:4" x14ac:dyDescent="0.2">
      <c r="A19" s="14" t="s">
        <v>1287</v>
      </c>
      <c r="B19" s="14" t="s">
        <v>1350</v>
      </c>
      <c r="C19" s="14" t="s">
        <v>1344</v>
      </c>
      <c r="D19" s="14" t="s">
        <v>1345</v>
      </c>
    </row>
    <row r="20" spans="1:4" x14ac:dyDescent="0.2">
      <c r="A20" s="14" t="s">
        <v>1288</v>
      </c>
      <c r="B20" s="14" t="s">
        <v>1350</v>
      </c>
      <c r="C20" s="14" t="s">
        <v>1344</v>
      </c>
      <c r="D20" s="14" t="s">
        <v>1345</v>
      </c>
    </row>
    <row r="21" spans="1:4" x14ac:dyDescent="0.2">
      <c r="A21" s="14" t="s">
        <v>1289</v>
      </c>
      <c r="B21" s="14" t="s">
        <v>1350</v>
      </c>
      <c r="C21" s="14" t="s">
        <v>1344</v>
      </c>
      <c r="D21" s="14" t="s">
        <v>1345</v>
      </c>
    </row>
    <row r="22" spans="1:4" x14ac:dyDescent="0.2">
      <c r="A22" s="14" t="s">
        <v>1290</v>
      </c>
      <c r="B22" s="14" t="s">
        <v>1350</v>
      </c>
      <c r="C22" s="14" t="s">
        <v>1344</v>
      </c>
      <c r="D22" s="14" t="s">
        <v>1345</v>
      </c>
    </row>
    <row r="23" spans="1:4" x14ac:dyDescent="0.2">
      <c r="A23" s="14" t="s">
        <v>1291</v>
      </c>
      <c r="B23" s="14" t="s">
        <v>1350</v>
      </c>
      <c r="C23" s="14" t="s">
        <v>1344</v>
      </c>
      <c r="D23" s="14" t="s">
        <v>1345</v>
      </c>
    </row>
    <row r="24" spans="1:4" x14ac:dyDescent="0.2">
      <c r="A24" s="14" t="s">
        <v>1292</v>
      </c>
      <c r="B24" s="14" t="s">
        <v>1350</v>
      </c>
      <c r="C24" s="14" t="s">
        <v>1344</v>
      </c>
      <c r="D24" s="14" t="s">
        <v>1345</v>
      </c>
    </row>
    <row r="25" spans="1:4" x14ac:dyDescent="0.2">
      <c r="A25" s="14" t="s">
        <v>1293</v>
      </c>
      <c r="B25" s="14" t="s">
        <v>1350</v>
      </c>
      <c r="C25" s="14" t="s">
        <v>1344</v>
      </c>
      <c r="D25" s="14" t="s">
        <v>1345</v>
      </c>
    </row>
    <row r="26" spans="1:4" x14ac:dyDescent="0.2">
      <c r="A26" s="14" t="s">
        <v>1294</v>
      </c>
      <c r="B26" s="14" t="s">
        <v>1350</v>
      </c>
      <c r="C26" s="14" t="s">
        <v>1344</v>
      </c>
      <c r="D26" s="14" t="s">
        <v>1345</v>
      </c>
    </row>
    <row r="27" spans="1:4" x14ac:dyDescent="0.2">
      <c r="A27" s="14" t="s">
        <v>1295</v>
      </c>
      <c r="B27" s="14" t="s">
        <v>1350</v>
      </c>
      <c r="C27" s="14" t="s">
        <v>1344</v>
      </c>
      <c r="D27" s="14" t="s">
        <v>1345</v>
      </c>
    </row>
    <row r="28" spans="1:4" x14ac:dyDescent="0.2">
      <c r="A28" s="14" t="s">
        <v>1296</v>
      </c>
      <c r="B28" s="14" t="s">
        <v>1350</v>
      </c>
      <c r="C28" s="14" t="s">
        <v>1344</v>
      </c>
      <c r="D28" s="14" t="s">
        <v>1345</v>
      </c>
    </row>
    <row r="29" spans="1:4" x14ac:dyDescent="0.2">
      <c r="A29" s="14" t="s">
        <v>1297</v>
      </c>
      <c r="B29" s="14" t="s">
        <v>1350</v>
      </c>
      <c r="C29" s="14" t="s">
        <v>1344</v>
      </c>
      <c r="D29" s="14" t="s">
        <v>1345</v>
      </c>
    </row>
    <row r="30" spans="1:4" x14ac:dyDescent="0.2">
      <c r="A30" s="14" t="s">
        <v>1298</v>
      </c>
      <c r="B30" s="14" t="s">
        <v>1350</v>
      </c>
      <c r="C30" s="14" t="s">
        <v>1344</v>
      </c>
      <c r="D30" s="14" t="s">
        <v>1345</v>
      </c>
    </row>
    <row r="31" spans="1:4" x14ac:dyDescent="0.2">
      <c r="A31" s="14" t="s">
        <v>1299</v>
      </c>
      <c r="B31" s="14" t="s">
        <v>1350</v>
      </c>
      <c r="C31" s="14" t="s">
        <v>1344</v>
      </c>
      <c r="D31" s="14" t="s">
        <v>1345</v>
      </c>
    </row>
    <row r="32" spans="1:4" x14ac:dyDescent="0.2">
      <c r="A32" s="14" t="s">
        <v>1300</v>
      </c>
      <c r="B32" s="14" t="s">
        <v>1350</v>
      </c>
      <c r="C32" s="14" t="s">
        <v>1344</v>
      </c>
      <c r="D32" s="14" t="s">
        <v>1345</v>
      </c>
    </row>
    <row r="33" spans="1:4" x14ac:dyDescent="0.2">
      <c r="A33" s="14" t="s">
        <v>1301</v>
      </c>
      <c r="B33" s="14" t="s">
        <v>1350</v>
      </c>
      <c r="C33" s="14" t="s">
        <v>1344</v>
      </c>
      <c r="D33" s="14" t="s">
        <v>1345</v>
      </c>
    </row>
    <row r="34" spans="1:4" x14ac:dyDescent="0.2">
      <c r="A34" s="14" t="s">
        <v>1302</v>
      </c>
      <c r="B34" s="14" t="s">
        <v>1350</v>
      </c>
      <c r="C34" s="14" t="s">
        <v>1344</v>
      </c>
      <c r="D34" s="14" t="s">
        <v>1345</v>
      </c>
    </row>
    <row r="35" spans="1:4" x14ac:dyDescent="0.2">
      <c r="A35" s="14" t="s">
        <v>1303</v>
      </c>
      <c r="B35" s="14" t="s">
        <v>1350</v>
      </c>
      <c r="C35" s="14" t="s">
        <v>1344</v>
      </c>
      <c r="D35" s="14" t="s">
        <v>1345</v>
      </c>
    </row>
    <row r="36" spans="1:4" x14ac:dyDescent="0.2">
      <c r="A36" s="14" t="s">
        <v>1304</v>
      </c>
      <c r="B36" s="14" t="s">
        <v>1350</v>
      </c>
      <c r="C36" s="14" t="s">
        <v>1344</v>
      </c>
      <c r="D36" s="14" t="s">
        <v>1345</v>
      </c>
    </row>
    <row r="37" spans="1:4" x14ac:dyDescent="0.2">
      <c r="A37" s="14" t="s">
        <v>1305</v>
      </c>
      <c r="B37" s="14" t="s">
        <v>1350</v>
      </c>
      <c r="C37" s="14" t="s">
        <v>1344</v>
      </c>
      <c r="D37" s="14" t="s">
        <v>1345</v>
      </c>
    </row>
    <row r="38" spans="1:4" x14ac:dyDescent="0.2">
      <c r="A38" s="14" t="s">
        <v>1306</v>
      </c>
      <c r="B38" s="14" t="s">
        <v>1350</v>
      </c>
      <c r="C38" s="14" t="s">
        <v>1344</v>
      </c>
      <c r="D38" s="14" t="s">
        <v>1345</v>
      </c>
    </row>
    <row r="39" spans="1:4" x14ac:dyDescent="0.2">
      <c r="A39" s="14" t="s">
        <v>1307</v>
      </c>
      <c r="B39" s="14" t="s">
        <v>1350</v>
      </c>
      <c r="C39" s="14" t="s">
        <v>1344</v>
      </c>
      <c r="D39" s="14" t="s">
        <v>1345</v>
      </c>
    </row>
    <row r="40" spans="1:4" x14ac:dyDescent="0.2">
      <c r="A40" s="14" t="s">
        <v>1308</v>
      </c>
      <c r="B40" s="14" t="s">
        <v>1350</v>
      </c>
      <c r="C40" s="14" t="s">
        <v>1344</v>
      </c>
      <c r="D40" s="14" t="s">
        <v>1345</v>
      </c>
    </row>
    <row r="41" spans="1:4" x14ac:dyDescent="0.2">
      <c r="A41" s="14" t="s">
        <v>1309</v>
      </c>
      <c r="B41" s="14" t="s">
        <v>1350</v>
      </c>
      <c r="C41" s="14" t="s">
        <v>1344</v>
      </c>
      <c r="D41" s="14" t="s">
        <v>1345</v>
      </c>
    </row>
    <row r="42" spans="1:4" x14ac:dyDescent="0.2">
      <c r="A42" s="14" t="s">
        <v>1310</v>
      </c>
      <c r="B42" s="14" t="s">
        <v>1350</v>
      </c>
      <c r="C42" s="14" t="s">
        <v>1344</v>
      </c>
      <c r="D42" s="14" t="s">
        <v>1345</v>
      </c>
    </row>
    <row r="43" spans="1:4" x14ac:dyDescent="0.2">
      <c r="A43" s="14" t="s">
        <v>1311</v>
      </c>
      <c r="B43" s="14" t="s">
        <v>1350</v>
      </c>
      <c r="C43" s="14" t="s">
        <v>1344</v>
      </c>
      <c r="D43" s="14" t="s">
        <v>1345</v>
      </c>
    </row>
    <row r="44" spans="1:4" x14ac:dyDescent="0.2">
      <c r="A44" s="14" t="s">
        <v>1351</v>
      </c>
      <c r="B44" s="14" t="s">
        <v>1350</v>
      </c>
      <c r="C44" s="14" t="s">
        <v>1344</v>
      </c>
      <c r="D44" s="14" t="s">
        <v>1345</v>
      </c>
    </row>
    <row r="45" spans="1:4" x14ac:dyDescent="0.2">
      <c r="A45" s="14" t="s">
        <v>1352</v>
      </c>
      <c r="B45" s="14" t="s">
        <v>1350</v>
      </c>
      <c r="C45" s="14" t="s">
        <v>1344</v>
      </c>
      <c r="D45" s="14" t="s">
        <v>1345</v>
      </c>
    </row>
    <row r="46" spans="1:4" x14ac:dyDescent="0.2">
      <c r="A46" s="14" t="s">
        <v>1353</v>
      </c>
      <c r="B46" s="14" t="s">
        <v>1350</v>
      </c>
      <c r="C46" s="14" t="s">
        <v>1344</v>
      </c>
      <c r="D46" s="14" t="s">
        <v>1345</v>
      </c>
    </row>
    <row r="47" spans="1:4" x14ac:dyDescent="0.2">
      <c r="A47" s="14" t="s">
        <v>1354</v>
      </c>
      <c r="B47" s="14" t="s">
        <v>1350</v>
      </c>
      <c r="C47" s="14" t="s">
        <v>1344</v>
      </c>
      <c r="D47" s="14" t="s">
        <v>1345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9"/>
  <sheetViews>
    <sheetView workbookViewId="0"/>
  </sheetViews>
  <sheetFormatPr defaultRowHeight="15" x14ac:dyDescent="0.2"/>
  <cols>
    <col min="1" max="3" width="23.9453125" style="38" customWidth="1"/>
  </cols>
  <sheetData>
    <row r="1" spans="1:3" ht="39.75" customHeight="1" x14ac:dyDescent="0.3">
      <c r="A1" s="17" t="s">
        <v>1355</v>
      </c>
      <c r="B1" s="17"/>
      <c r="C1" s="17"/>
    </row>
    <row r="3" spans="1:3" x14ac:dyDescent="0.2">
      <c r="A3" s="18" t="s">
        <v>1356</v>
      </c>
      <c r="B3" s="18" t="s">
        <v>373</v>
      </c>
      <c r="C3" s="18" t="s">
        <v>40</v>
      </c>
    </row>
    <row r="4" spans="1:3" x14ac:dyDescent="0.2">
      <c r="A4" s="14" t="s">
        <v>1357</v>
      </c>
      <c r="B4" s="14" t="s">
        <v>375</v>
      </c>
      <c r="C4" s="14" t="s">
        <v>1358</v>
      </c>
    </row>
    <row r="5" spans="1:3" ht="27.75" customHeight="1" x14ac:dyDescent="0.2">
      <c r="A5" s="14" t="s">
        <v>631</v>
      </c>
      <c r="B5" s="14" t="s">
        <v>375</v>
      </c>
      <c r="C5" s="14" t="s">
        <v>1359</v>
      </c>
    </row>
    <row r="6" spans="1:3" ht="41.25" customHeight="1" x14ac:dyDescent="0.2">
      <c r="A6" s="14" t="s">
        <v>1360</v>
      </c>
      <c r="B6" s="14" t="s">
        <v>375</v>
      </c>
      <c r="C6" s="14" t="s">
        <v>1361</v>
      </c>
    </row>
    <row r="7" spans="1:3" ht="27.75" customHeight="1" x14ac:dyDescent="0.2">
      <c r="A7" s="14" t="s">
        <v>394</v>
      </c>
      <c r="B7" s="14" t="s">
        <v>375</v>
      </c>
      <c r="C7" s="14" t="s">
        <v>1316</v>
      </c>
    </row>
    <row r="8" spans="1:3" ht="27.75" customHeight="1" x14ac:dyDescent="0.2">
      <c r="A8" s="14" t="s">
        <v>443</v>
      </c>
      <c r="B8" s="14" t="s">
        <v>375</v>
      </c>
      <c r="C8" s="14" t="s">
        <v>1362</v>
      </c>
    </row>
    <row r="9" spans="1:3" x14ac:dyDescent="0.2">
      <c r="A9" s="14" t="s">
        <v>444</v>
      </c>
      <c r="B9" s="14" t="s">
        <v>78</v>
      </c>
      <c r="C9" s="14" t="s">
        <v>1363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12"/>
  <sheetViews>
    <sheetView workbookViewId="0"/>
  </sheetViews>
  <sheetFormatPr defaultRowHeight="15" x14ac:dyDescent="0.2"/>
  <cols>
    <col min="1" max="4" width="25.9609375" style="38" customWidth="1"/>
    <col min="5" max="8" width="20.04296875" style="38" customWidth="1"/>
  </cols>
  <sheetData>
    <row r="1" spans="1:8" ht="33.950000000000003" customHeight="1" x14ac:dyDescent="0.35">
      <c r="A1" s="19" t="s">
        <v>1364</v>
      </c>
      <c r="B1" s="19"/>
      <c r="C1" s="19"/>
      <c r="D1" s="19"/>
      <c r="E1" s="19"/>
      <c r="F1" s="19"/>
      <c r="G1" s="19"/>
      <c r="H1" s="19"/>
    </row>
    <row r="2" spans="1:8" ht="27.95" customHeight="1" x14ac:dyDescent="0.2">
      <c r="A2" s="20" t="s">
        <v>1365</v>
      </c>
      <c r="B2" s="20"/>
      <c r="C2" s="20"/>
      <c r="D2" s="20"/>
      <c r="E2" s="20"/>
      <c r="F2" s="20"/>
      <c r="G2" s="20"/>
      <c r="H2" s="20"/>
    </row>
    <row r="4" spans="1:8" x14ac:dyDescent="0.2">
      <c r="A4" s="27" t="s">
        <v>372</v>
      </c>
      <c r="B4" s="27" t="s">
        <v>227</v>
      </c>
      <c r="C4" s="27" t="s">
        <v>1366</v>
      </c>
      <c r="D4" s="27" t="s">
        <v>1367</v>
      </c>
    </row>
    <row r="5" spans="1:8" x14ac:dyDescent="0.2">
      <c r="A5" s="14" t="s">
        <v>1368</v>
      </c>
      <c r="B5" s="14" t="s">
        <v>1369</v>
      </c>
      <c r="C5" s="14" t="s">
        <v>264</v>
      </c>
      <c r="D5" s="14" t="s">
        <v>1370</v>
      </c>
    </row>
    <row r="6" spans="1:8" x14ac:dyDescent="0.2">
      <c r="A6" s="14" t="s">
        <v>1371</v>
      </c>
      <c r="B6" s="14" t="s">
        <v>1372</v>
      </c>
      <c r="C6" s="14" t="s">
        <v>59</v>
      </c>
      <c r="D6" s="14" t="s">
        <v>1373</v>
      </c>
    </row>
    <row r="7" spans="1:8" x14ac:dyDescent="0.2">
      <c r="A7" s="14" t="s">
        <v>1374</v>
      </c>
      <c r="B7" s="14" t="s">
        <v>1375</v>
      </c>
      <c r="C7" s="14" t="s">
        <v>264</v>
      </c>
      <c r="D7" s="14" t="s">
        <v>1376</v>
      </c>
    </row>
    <row r="8" spans="1:8" ht="27.75" customHeight="1" x14ac:dyDescent="0.2">
      <c r="A8" s="14" t="s">
        <v>1165</v>
      </c>
      <c r="B8" s="14" t="s">
        <v>1377</v>
      </c>
      <c r="C8" s="14" t="s">
        <v>1324</v>
      </c>
      <c r="D8" s="14" t="s">
        <v>1378</v>
      </c>
    </row>
    <row r="9" spans="1:8" ht="27.75" customHeight="1" x14ac:dyDescent="0.2">
      <c r="A9" s="14" t="s">
        <v>1379</v>
      </c>
      <c r="B9" s="14" t="s">
        <v>363</v>
      </c>
      <c r="C9" s="14" t="s">
        <v>1324</v>
      </c>
      <c r="D9" s="14" t="s">
        <v>1380</v>
      </c>
    </row>
    <row r="10" spans="1:8" x14ac:dyDescent="0.2">
      <c r="A10" s="14" t="s">
        <v>1381</v>
      </c>
      <c r="B10" s="14" t="s">
        <v>1382</v>
      </c>
      <c r="C10" s="14" t="s">
        <v>264</v>
      </c>
      <c r="D10" s="14" t="s">
        <v>1383</v>
      </c>
    </row>
    <row r="11" spans="1:8" ht="27.75" customHeight="1" x14ac:dyDescent="0.2">
      <c r="A11" s="14" t="s">
        <v>1384</v>
      </c>
      <c r="B11" s="14" t="s">
        <v>1385</v>
      </c>
      <c r="C11" s="14" t="s">
        <v>292</v>
      </c>
      <c r="D11" s="14" t="s">
        <v>1386</v>
      </c>
    </row>
    <row r="12" spans="1:8" x14ac:dyDescent="0.2">
      <c r="A12" s="14" t="s">
        <v>1387</v>
      </c>
      <c r="B12" s="14" t="s">
        <v>90</v>
      </c>
      <c r="C12" s="14" t="s">
        <v>1042</v>
      </c>
      <c r="D12" s="14" t="s">
        <v>1388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13"/>
  <sheetViews>
    <sheetView workbookViewId="0"/>
  </sheetViews>
  <sheetFormatPr defaultRowHeight="15" x14ac:dyDescent="0.2"/>
  <cols>
    <col min="1" max="9" width="22.05859375" style="38" customWidth="1"/>
  </cols>
  <sheetData>
    <row r="1" spans="1:9" ht="33.950000000000003" customHeight="1" x14ac:dyDescent="0.35">
      <c r="A1" s="28" t="s">
        <v>1389</v>
      </c>
      <c r="B1" s="28"/>
      <c r="C1" s="28"/>
      <c r="D1" s="28"/>
      <c r="E1" s="28"/>
      <c r="F1" s="28"/>
      <c r="G1" s="28"/>
      <c r="H1" s="28"/>
      <c r="I1" s="28"/>
    </row>
    <row r="2" spans="1:9" ht="26.1" customHeight="1" x14ac:dyDescent="0.2">
      <c r="A2" s="29" t="s">
        <v>1390</v>
      </c>
      <c r="B2" s="29"/>
      <c r="C2" s="29"/>
      <c r="D2" s="29"/>
      <c r="E2" s="29"/>
      <c r="F2" s="29"/>
      <c r="G2" s="29"/>
      <c r="H2" s="29"/>
      <c r="I2" s="29"/>
    </row>
    <row r="4" spans="1:9" ht="59.25" x14ac:dyDescent="0.2">
      <c r="A4" s="30" t="s">
        <v>1391</v>
      </c>
      <c r="B4" s="30"/>
      <c r="C4" s="30"/>
      <c r="D4" s="30"/>
      <c r="E4" s="30"/>
      <c r="F4" s="30"/>
      <c r="G4" s="30"/>
      <c r="H4" s="30"/>
      <c r="I4" s="30"/>
    </row>
    <row r="6" spans="1:9" ht="27.75" x14ac:dyDescent="0.2">
      <c r="A6" s="32" t="s">
        <v>1392</v>
      </c>
      <c r="B6" s="32" t="s">
        <v>1367</v>
      </c>
      <c r="C6" s="32" t="s">
        <v>1393</v>
      </c>
      <c r="D6" s="32" t="s">
        <v>1394</v>
      </c>
      <c r="E6" s="14"/>
      <c r="F6" s="14"/>
      <c r="G6" s="14"/>
      <c r="H6" s="14"/>
      <c r="I6" s="14"/>
    </row>
    <row r="7" spans="1:9" ht="27.75" x14ac:dyDescent="0.2">
      <c r="A7" s="14" t="s">
        <v>1317</v>
      </c>
      <c r="B7" s="14" t="s">
        <v>1395</v>
      </c>
      <c r="C7" s="14" t="s">
        <v>1396</v>
      </c>
      <c r="D7" s="14" t="s">
        <v>1397</v>
      </c>
      <c r="E7" s="14"/>
      <c r="F7" s="14"/>
      <c r="G7" s="14"/>
      <c r="H7" s="14"/>
      <c r="I7" s="14"/>
    </row>
    <row r="8" spans="1:9" ht="27.75" x14ac:dyDescent="0.2">
      <c r="A8" s="14" t="s">
        <v>1398</v>
      </c>
      <c r="B8" s="14" t="s">
        <v>1399</v>
      </c>
      <c r="C8" s="14" t="s">
        <v>1400</v>
      </c>
      <c r="D8" s="14" t="s">
        <v>1401</v>
      </c>
      <c r="E8" s="14"/>
      <c r="F8" s="14"/>
      <c r="G8" s="14"/>
      <c r="H8" s="14"/>
      <c r="I8" s="14"/>
    </row>
    <row r="9" spans="1:9" ht="27.75" x14ac:dyDescent="0.2">
      <c r="A9" s="14" t="s">
        <v>1402</v>
      </c>
      <c r="B9" s="14" t="s">
        <v>1403</v>
      </c>
      <c r="C9" s="14" t="s">
        <v>1404</v>
      </c>
      <c r="D9" s="14" t="s">
        <v>1405</v>
      </c>
      <c r="E9" s="14"/>
      <c r="F9" s="14"/>
      <c r="G9" s="14"/>
      <c r="H9" s="14"/>
      <c r="I9" s="14"/>
    </row>
    <row r="10" spans="1:9" ht="27.75" x14ac:dyDescent="0.2">
      <c r="A10" s="14" t="s">
        <v>1406</v>
      </c>
      <c r="B10" s="14" t="s">
        <v>1407</v>
      </c>
      <c r="C10" s="14" t="s">
        <v>1400</v>
      </c>
      <c r="D10" s="14" t="s">
        <v>1408</v>
      </c>
      <c r="E10" s="14"/>
      <c r="F10" s="14"/>
      <c r="G10" s="14"/>
      <c r="H10" s="14"/>
      <c r="I10" s="14"/>
    </row>
    <row r="11" spans="1:9" x14ac:dyDescent="0.2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68.25" x14ac:dyDescent="0.2">
      <c r="A12" s="14" t="s">
        <v>14</v>
      </c>
      <c r="B12" s="14" t="s">
        <v>1409</v>
      </c>
      <c r="C12" s="14"/>
      <c r="D12" s="14"/>
      <c r="E12" s="14"/>
      <c r="F12" s="14"/>
      <c r="G12" s="14"/>
      <c r="H12" s="14"/>
      <c r="I12" s="14"/>
    </row>
    <row r="13" spans="1:9" x14ac:dyDescent="0.2">
      <c r="A13" s="14" t="s">
        <v>112</v>
      </c>
      <c r="B13" s="14" t="s">
        <v>1410</v>
      </c>
      <c r="C13" s="14" t="s">
        <v>1411</v>
      </c>
      <c r="D13" s="14" t="s">
        <v>1412</v>
      </c>
      <c r="E13" s="14"/>
      <c r="F13" s="14"/>
      <c r="G13" s="14"/>
      <c r="H13" s="14"/>
      <c r="I13" s="14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12"/>
  <sheetViews>
    <sheetView workbookViewId="0"/>
  </sheetViews>
  <sheetFormatPr defaultRowHeight="15" x14ac:dyDescent="0.2"/>
  <cols>
    <col min="1" max="9" width="20.04296875" style="38" customWidth="1"/>
    <col min="10" max="10" width="57.9765625" style="38" customWidth="1"/>
    <col min="11" max="13" width="34.03125" style="38" customWidth="1"/>
  </cols>
  <sheetData>
    <row r="1" spans="1:13" ht="33.950000000000003" customHeight="1" x14ac:dyDescent="0.35">
      <c r="A1" s="28" t="s">
        <v>1413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3" ht="26.1" customHeight="1" x14ac:dyDescent="0.2">
      <c r="A2" s="29" t="s">
        <v>1414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4" spans="1:13" x14ac:dyDescent="0.2">
      <c r="A4" s="34" t="s">
        <v>1415</v>
      </c>
      <c r="B4" s="34" t="s">
        <v>1416</v>
      </c>
      <c r="C4" s="34" t="s">
        <v>1417</v>
      </c>
      <c r="D4" s="34" t="s">
        <v>1418</v>
      </c>
      <c r="E4" s="34" t="s">
        <v>1419</v>
      </c>
      <c r="F4" s="34" t="s">
        <v>1420</v>
      </c>
      <c r="G4" s="34" t="s">
        <v>8</v>
      </c>
      <c r="H4" s="34" t="s">
        <v>9</v>
      </c>
      <c r="I4" s="34" t="s">
        <v>7</v>
      </c>
      <c r="J4" s="34" t="s">
        <v>1421</v>
      </c>
      <c r="K4" s="34" t="s">
        <v>10</v>
      </c>
      <c r="L4" s="34" t="s">
        <v>11</v>
      </c>
      <c r="M4" s="34" t="s">
        <v>1422</v>
      </c>
    </row>
    <row r="5" spans="1:13" ht="54.75" x14ac:dyDescent="0.2">
      <c r="A5" s="14" t="s">
        <v>1423</v>
      </c>
      <c r="B5" s="14" t="s">
        <v>4</v>
      </c>
      <c r="C5" s="14" t="s">
        <v>1424</v>
      </c>
      <c r="D5" s="14" t="s">
        <v>1425</v>
      </c>
      <c r="E5" s="14" t="s">
        <v>1426</v>
      </c>
      <c r="F5" s="14" t="s">
        <v>1427</v>
      </c>
      <c r="G5" s="14" t="s">
        <v>235</v>
      </c>
      <c r="H5" s="14" t="s">
        <v>1428</v>
      </c>
      <c r="I5" s="14" t="s">
        <v>293</v>
      </c>
      <c r="J5" s="14" t="s">
        <v>1429</v>
      </c>
      <c r="K5" s="14" t="s">
        <v>1430</v>
      </c>
      <c r="L5" s="14" t="s">
        <v>1431</v>
      </c>
      <c r="M5" s="14" t="s">
        <v>1432</v>
      </c>
    </row>
    <row r="6" spans="1:13" ht="41.25" x14ac:dyDescent="0.2">
      <c r="A6" s="14" t="s">
        <v>1433</v>
      </c>
      <c r="B6" s="14" t="s">
        <v>15</v>
      </c>
      <c r="C6" s="14" t="s">
        <v>1434</v>
      </c>
      <c r="D6" s="14" t="s">
        <v>1435</v>
      </c>
      <c r="E6" s="14" t="s">
        <v>1436</v>
      </c>
      <c r="F6" s="14" t="s">
        <v>1437</v>
      </c>
      <c r="G6" s="14" t="s">
        <v>235</v>
      </c>
      <c r="H6" s="14" t="s">
        <v>1428</v>
      </c>
      <c r="I6" s="14" t="s">
        <v>265</v>
      </c>
      <c r="J6" s="14" t="s">
        <v>1438</v>
      </c>
      <c r="K6" s="14" t="s">
        <v>1439</v>
      </c>
      <c r="L6" s="14" t="s">
        <v>1440</v>
      </c>
      <c r="M6" s="14" t="s">
        <v>1441</v>
      </c>
    </row>
    <row r="7" spans="1:13" ht="41.25" x14ac:dyDescent="0.2">
      <c r="A7" s="14" t="s">
        <v>1442</v>
      </c>
      <c r="B7" s="14" t="s">
        <v>16</v>
      </c>
      <c r="C7" s="14" t="s">
        <v>1443</v>
      </c>
      <c r="D7" s="14" t="s">
        <v>1444</v>
      </c>
      <c r="E7" s="14" t="s">
        <v>1445</v>
      </c>
      <c r="F7" s="14" t="s">
        <v>1446</v>
      </c>
      <c r="G7" s="14" t="s">
        <v>1020</v>
      </c>
      <c r="H7" s="14" t="s">
        <v>670</v>
      </c>
      <c r="I7" s="14" t="s">
        <v>293</v>
      </c>
      <c r="J7" s="14" t="s">
        <v>1447</v>
      </c>
      <c r="K7" s="14" t="s">
        <v>1448</v>
      </c>
      <c r="L7" s="14" t="s">
        <v>1449</v>
      </c>
      <c r="M7" s="14" t="s">
        <v>1450</v>
      </c>
    </row>
    <row r="8" spans="1:13" ht="54.75" x14ac:dyDescent="0.2">
      <c r="A8" s="14" t="s">
        <v>1451</v>
      </c>
      <c r="B8" s="14" t="s">
        <v>17</v>
      </c>
      <c r="C8" s="14" t="s">
        <v>1452</v>
      </c>
      <c r="D8" s="14" t="s">
        <v>1453</v>
      </c>
      <c r="E8" s="14" t="s">
        <v>1454</v>
      </c>
      <c r="F8" s="14" t="s">
        <v>1455</v>
      </c>
      <c r="G8" s="14" t="s">
        <v>235</v>
      </c>
      <c r="H8" s="14" t="s">
        <v>1456</v>
      </c>
      <c r="I8" s="14" t="s">
        <v>270</v>
      </c>
      <c r="J8" s="14" t="s">
        <v>1457</v>
      </c>
      <c r="K8" s="14" t="s">
        <v>1458</v>
      </c>
      <c r="L8" s="14" t="s">
        <v>1459</v>
      </c>
      <c r="M8" s="14" t="s">
        <v>1460</v>
      </c>
    </row>
    <row r="9" spans="1:13" ht="41.25" x14ac:dyDescent="0.2">
      <c r="A9" s="14" t="s">
        <v>1461</v>
      </c>
      <c r="B9" s="14" t="s">
        <v>18</v>
      </c>
      <c r="C9" s="14" t="s">
        <v>1462</v>
      </c>
      <c r="D9" s="14" t="s">
        <v>1463</v>
      </c>
      <c r="E9" s="14" t="s">
        <v>1464</v>
      </c>
      <c r="F9" s="14" t="s">
        <v>1465</v>
      </c>
      <c r="G9" s="14" t="s">
        <v>235</v>
      </c>
      <c r="H9" s="14" t="s">
        <v>1466</v>
      </c>
      <c r="I9" s="14" t="s">
        <v>276</v>
      </c>
      <c r="J9" s="14" t="s">
        <v>1467</v>
      </c>
      <c r="K9" s="14" t="s">
        <v>1468</v>
      </c>
      <c r="L9" s="14" t="s">
        <v>1469</v>
      </c>
      <c r="M9" s="14" t="s">
        <v>1470</v>
      </c>
    </row>
    <row r="10" spans="1:13" ht="41.25" x14ac:dyDescent="0.2">
      <c r="A10" s="14" t="s">
        <v>1471</v>
      </c>
      <c r="B10" s="14" t="s">
        <v>19</v>
      </c>
      <c r="C10" s="14" t="s">
        <v>1472</v>
      </c>
      <c r="D10" s="14" t="s">
        <v>1473</v>
      </c>
      <c r="E10" s="14" t="s">
        <v>1474</v>
      </c>
      <c r="F10" s="14" t="s">
        <v>1475</v>
      </c>
      <c r="G10" s="14" t="s">
        <v>235</v>
      </c>
      <c r="H10" s="14" t="s">
        <v>1476</v>
      </c>
      <c r="I10" s="14" t="s">
        <v>288</v>
      </c>
      <c r="J10" s="14" t="s">
        <v>1477</v>
      </c>
      <c r="K10" s="14" t="s">
        <v>1478</v>
      </c>
      <c r="L10" s="14" t="s">
        <v>1479</v>
      </c>
      <c r="M10" s="14" t="s">
        <v>1480</v>
      </c>
    </row>
    <row r="11" spans="1:13" ht="54.75" x14ac:dyDescent="0.2">
      <c r="A11" s="14" t="s">
        <v>1481</v>
      </c>
      <c r="B11" s="14" t="s">
        <v>20</v>
      </c>
      <c r="C11" s="14" t="s">
        <v>1482</v>
      </c>
      <c r="D11" s="14" t="s">
        <v>1483</v>
      </c>
      <c r="E11" s="14" t="s">
        <v>1484</v>
      </c>
      <c r="F11" s="14" t="s">
        <v>1485</v>
      </c>
      <c r="G11" s="14" t="s">
        <v>235</v>
      </c>
      <c r="H11" s="14" t="s">
        <v>1486</v>
      </c>
      <c r="I11" s="14" t="s">
        <v>1487</v>
      </c>
      <c r="J11" s="14" t="s">
        <v>1488</v>
      </c>
      <c r="K11" s="14" t="s">
        <v>1489</v>
      </c>
      <c r="L11" s="14" t="s">
        <v>1490</v>
      </c>
      <c r="M11" s="14" t="s">
        <v>1491</v>
      </c>
    </row>
    <row r="12" spans="1:13" ht="41.25" x14ac:dyDescent="0.2">
      <c r="A12" s="14" t="s">
        <v>1492</v>
      </c>
      <c r="B12" s="14" t="s">
        <v>21</v>
      </c>
      <c r="C12" s="14" t="s">
        <v>1493</v>
      </c>
      <c r="D12" s="14" t="s">
        <v>1494</v>
      </c>
      <c r="E12" s="14" t="s">
        <v>1495</v>
      </c>
      <c r="F12" s="14" t="s">
        <v>1496</v>
      </c>
      <c r="G12" s="14" t="s">
        <v>241</v>
      </c>
      <c r="H12" s="14" t="s">
        <v>670</v>
      </c>
      <c r="I12" s="14" t="s">
        <v>1497</v>
      </c>
      <c r="J12" s="14" t="s">
        <v>1498</v>
      </c>
      <c r="K12" s="14" t="s">
        <v>1499</v>
      </c>
      <c r="L12" s="14" t="s">
        <v>1500</v>
      </c>
      <c r="M12" s="14" t="s">
        <v>1501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N12"/>
  <sheetViews>
    <sheetView workbookViewId="0"/>
  </sheetViews>
  <sheetFormatPr defaultRowHeight="15" x14ac:dyDescent="0.2"/>
  <cols>
    <col min="1" max="1" width="20.04296875" style="38" customWidth="1"/>
    <col min="2" max="2" width="45.0625" style="38" customWidth="1"/>
    <col min="3" max="14" width="20.04296875" style="38" customWidth="1"/>
  </cols>
  <sheetData>
    <row r="1" spans="1:14" ht="33.950000000000003" customHeight="1" x14ac:dyDescent="0.35">
      <c r="A1" s="28" t="s">
        <v>1502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4" ht="26.1" customHeight="1" x14ac:dyDescent="0.2">
      <c r="A2" s="29" t="s">
        <v>1503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4" x14ac:dyDescent="0.2">
      <c r="A4" s="34" t="s">
        <v>145</v>
      </c>
      <c r="B4" s="34" t="s">
        <v>1504</v>
      </c>
      <c r="C4" s="14"/>
      <c r="D4" s="34" t="s">
        <v>1505</v>
      </c>
      <c r="E4" s="34" t="s">
        <v>1415</v>
      </c>
      <c r="F4" s="34" t="s">
        <v>1506</v>
      </c>
      <c r="G4" s="34" t="s">
        <v>1507</v>
      </c>
      <c r="H4" s="34" t="s">
        <v>1508</v>
      </c>
      <c r="I4" s="34" t="s">
        <v>6</v>
      </c>
      <c r="J4" s="34" t="s">
        <v>9</v>
      </c>
      <c r="K4" s="34" t="s">
        <v>8</v>
      </c>
      <c r="L4" s="14"/>
      <c r="M4" s="14" t="s">
        <v>1509</v>
      </c>
      <c r="N4" s="14">
        <f>MAX(H5:H12)</f>
        <v>95</v>
      </c>
    </row>
    <row r="5" spans="1:14" x14ac:dyDescent="0.2">
      <c r="A5" s="14" t="s">
        <v>1510</v>
      </c>
      <c r="B5" s="14" t="str">
        <f>IF(N4=0,"No match",INDEX(AI_INTENT_DB!F:F,N6))</f>
        <v>Blocked Pick Investigation</v>
      </c>
      <c r="C5" s="14"/>
      <c r="D5" s="14">
        <v>5</v>
      </c>
      <c r="E5" s="14" t="str">
        <f>AI_INTENT_DB!A5</f>
        <v>OUT-001</v>
      </c>
      <c r="F5" s="14">
        <f>IF(OR(ISNUMBER(SEARCH(LOWER(AI_INTENT_DB!B5),LOWER(ASK_AI!$B$5))),ISNUMBER(SEARCH(LOWER(AI_INTENT_DB!C5),LOWER(ASK_AI!$B$5))),ISNUMBER(SEARCH(LOWER(AI_INTENT_DB!D5),LOWER(ASK_AI!$B$5))),ISNUMBER(SEARCH(LOWER(AI_INTENT_DB!E5),LOWER(ASK_AI!$B$5)))),1,0)</f>
        <v>0</v>
      </c>
      <c r="G5" s="14">
        <f>VALUE(SUBSTITUTE(AI_INTENT_DB!I5,"%",""))</f>
        <v>98</v>
      </c>
      <c r="H5" s="14">
        <f>F5*G5</f>
        <v>0</v>
      </c>
      <c r="I5" s="14" t="str">
        <f>AI_INTENT_DB!F5</f>
        <v>Outbound Orders</v>
      </c>
      <c r="J5" s="14" t="str">
        <f>AI_INTENT_DB!H5</f>
        <v>Outbound</v>
      </c>
      <c r="K5" s="14" t="str">
        <f>AI_INTENT_DB!G5</f>
        <v>Supervisor</v>
      </c>
      <c r="L5" s="14"/>
      <c r="M5" s="14" t="s">
        <v>1511</v>
      </c>
      <c r="N5" s="14">
        <f>MATCH(N4,H5:H12,0)+4</f>
        <v>8</v>
      </c>
    </row>
    <row r="6" spans="1:14" x14ac:dyDescent="0.2">
      <c r="A6" s="14" t="s">
        <v>7</v>
      </c>
      <c r="B6" s="14" t="str">
        <f>IF(N4=0,"0%",TEXT(N4/100,"0%"))</f>
        <v>95%</v>
      </c>
      <c r="C6" s="14"/>
      <c r="D6" s="14">
        <v>6</v>
      </c>
      <c r="E6" s="14" t="str">
        <f>AI_INTENT_DB!A6</f>
        <v>OUT-002</v>
      </c>
      <c r="F6" s="14">
        <f>IF(OR(ISNUMBER(SEARCH(LOWER(AI_INTENT_DB!B6),LOWER(ASK_AI!$B$5))),ISNUMBER(SEARCH(LOWER(AI_INTENT_DB!C6),LOWER(ASK_AI!$B$5))),ISNUMBER(SEARCH(LOWER(AI_INTENT_DB!D6),LOWER(ASK_AI!$B$5))),ISNUMBER(SEARCH(LOWER(AI_INTENT_DB!E6),LOWER(ASK_AI!$B$5)))),1,0)</f>
        <v>0</v>
      </c>
      <c r="G6" s="14">
        <f>VALUE(SUBSTITUTE(AI_INTENT_DB!I6,"%",""))</f>
        <v>96</v>
      </c>
      <c r="H6" s="14">
        <f>F6*G6</f>
        <v>0</v>
      </c>
      <c r="I6" s="14" t="str">
        <f>AI_INTENT_DB!F6</f>
        <v>Outbound Waiting To Load</v>
      </c>
      <c r="J6" s="14" t="str">
        <f>AI_INTENT_DB!H6</f>
        <v>Outbound</v>
      </c>
      <c r="K6" s="14" t="str">
        <f>AI_INTENT_DB!G6</f>
        <v>Supervisor</v>
      </c>
      <c r="L6" s="14"/>
      <c r="M6" s="14" t="s">
        <v>1512</v>
      </c>
      <c r="N6" s="14">
        <f>INDEX(D5:D12,MATCH(N4,H5:H12,0))</f>
        <v>8</v>
      </c>
    </row>
    <row r="7" spans="1:14" x14ac:dyDescent="0.2">
      <c r="A7" s="14" t="s">
        <v>8</v>
      </c>
      <c r="B7" s="14" t="str">
        <f>IF(N4=0,"",INDEX(AI_INTENT_DB!G:G,N6))</f>
        <v>Supervisor</v>
      </c>
      <c r="C7" s="14"/>
      <c r="D7" s="14">
        <v>7</v>
      </c>
      <c r="E7" s="14" t="str">
        <f>AI_INTENT_DB!A7</f>
        <v>INV-001</v>
      </c>
      <c r="F7" s="14">
        <f>IF(OR(ISNUMBER(SEARCH(LOWER(AI_INTENT_DB!B7),LOWER(ASK_AI!$B$5))),ISNUMBER(SEARCH(LOWER(AI_INTENT_DB!C7),LOWER(ASK_AI!$B$5))),ISNUMBER(SEARCH(LOWER(AI_INTENT_DB!D7),LOWER(ASK_AI!$B$5))),ISNUMBER(SEARCH(LOWER(AI_INTENT_DB!E7),LOWER(ASK_AI!$B$5)))),1,0)</f>
        <v>0</v>
      </c>
      <c r="G7" s="14">
        <f>VALUE(SUBSTITUTE(AI_INTENT_DB!I7,"%",""))</f>
        <v>98</v>
      </c>
      <c r="H7" s="14">
        <f>F7*G7</f>
        <v>0</v>
      </c>
      <c r="I7" s="14" t="str">
        <f>AI_INTENT_DB!F7</f>
        <v>Find Pallet / LPN</v>
      </c>
      <c r="J7" s="14" t="str">
        <f>AI_INTENT_DB!H7</f>
        <v>Inventory</v>
      </c>
      <c r="K7" s="14" t="str">
        <f>AI_INTENT_DB!G7</f>
        <v>Operative</v>
      </c>
      <c r="L7" s="14"/>
      <c r="M7" s="14"/>
      <c r="N7" s="14"/>
    </row>
    <row r="8" spans="1:14" x14ac:dyDescent="0.2">
      <c r="A8" s="14" t="s">
        <v>9</v>
      </c>
      <c r="B8" s="14" t="str">
        <f>IF(N4=0,"",INDEX(AI_INTENT_DB!H:H,N6))</f>
        <v>Picking</v>
      </c>
      <c r="C8" s="14"/>
      <c r="D8" s="14">
        <v>8</v>
      </c>
      <c r="E8" s="14" t="str">
        <f>AI_INTENT_DB!A8</f>
        <v>PCK-001</v>
      </c>
      <c r="F8" s="14">
        <f>IF(OR(ISNUMBER(SEARCH(LOWER(AI_INTENT_DB!B8),LOWER(ASK_AI!$B$5))),ISNUMBER(SEARCH(LOWER(AI_INTENT_DB!C8),LOWER(ASK_AI!$B$5))),ISNUMBER(SEARCH(LOWER(AI_INTENT_DB!D8),LOWER(ASK_AI!$B$5))),ISNUMBER(SEARCH(LOWER(AI_INTENT_DB!E8),LOWER(ASK_AI!$B$5)))),1,0)</f>
        <v>1</v>
      </c>
      <c r="G8" s="14">
        <f>VALUE(SUBSTITUTE(AI_INTENT_DB!I8,"%",""))</f>
        <v>95</v>
      </c>
      <c r="H8" s="14">
        <f>F8*G8</f>
        <v>95</v>
      </c>
      <c r="I8" s="14" t="str">
        <f>AI_INTENT_DB!F8</f>
        <v>Blocked Pick Investigation</v>
      </c>
      <c r="J8" s="14" t="str">
        <f>AI_INTENT_DB!H8</f>
        <v>Picking</v>
      </c>
      <c r="K8" s="14" t="str">
        <f>AI_INTENT_DB!G8</f>
        <v>Supervisor</v>
      </c>
      <c r="L8" s="14"/>
      <c r="M8" s="14"/>
      <c r="N8" s="14"/>
    </row>
    <row r="9" spans="1:14" x14ac:dyDescent="0.2">
      <c r="A9" s="14" t="s">
        <v>10</v>
      </c>
      <c r="B9" s="14" t="str">
        <f>IF(N4=0,"I could not match that yet. Try: outbound orders, find pallet, blocked pick or replenishment.",INDEX(AI_INTENT_DB!K:K,N6))</f>
        <v>Investigates open or blocked pick work by work reference, wave, order and source location.</v>
      </c>
      <c r="C9" s="14"/>
      <c r="D9" s="14">
        <v>9</v>
      </c>
      <c r="E9" s="14" t="str">
        <f>AI_INTENT_DB!A9</f>
        <v>RPL-001</v>
      </c>
      <c r="F9" s="14">
        <f>IF(OR(ISNUMBER(SEARCH(LOWER(AI_INTENT_DB!B9),LOWER(ASK_AI!$B$5))),ISNUMBER(SEARCH(LOWER(AI_INTENT_DB!C9),LOWER(ASK_AI!$B$5))),ISNUMBER(SEARCH(LOWER(AI_INTENT_DB!D9),LOWER(ASK_AI!$B$5))),ISNUMBER(SEARCH(LOWER(AI_INTENT_DB!E9),LOWER(ASK_AI!$B$5)))),1,0)</f>
        <v>0</v>
      </c>
      <c r="G9" s="14">
        <f>VALUE(SUBSTITUTE(AI_INTENT_DB!I9,"%",""))</f>
        <v>94</v>
      </c>
      <c r="H9" s="14">
        <f>F9*G9</f>
        <v>0</v>
      </c>
      <c r="I9" s="14" t="str">
        <f>AI_INTENT_DB!F9</f>
        <v>Replenishment Work</v>
      </c>
      <c r="J9" s="14" t="str">
        <f>AI_INTENT_DB!H9</f>
        <v>Replenishment</v>
      </c>
      <c r="K9" s="14" t="str">
        <f>AI_INTENT_DB!G9</f>
        <v>Supervisor</v>
      </c>
      <c r="L9" s="14"/>
      <c r="M9" s="14"/>
      <c r="N9" s="14"/>
    </row>
    <row r="10" spans="1:14" x14ac:dyDescent="0.2">
      <c r="A10" s="14" t="s">
        <v>11</v>
      </c>
      <c r="B10" s="14" t="str">
        <f>IF(N4=0,"No validation available until an intent is matched.",INDEX(AI_INTENT_DB!L:L,N6))</f>
        <v>WH_ID uses wildcard like '%'. Confirm site pick status values and operation codes before final use.</v>
      </c>
      <c r="C10" s="14"/>
      <c r="D10" s="14">
        <v>10</v>
      </c>
      <c r="E10" s="14" t="str">
        <f>AI_INTENT_DB!A10</f>
        <v>INB-001</v>
      </c>
      <c r="F10" s="14">
        <f>IF(OR(ISNUMBER(SEARCH(LOWER(AI_INTENT_DB!B10),LOWER(ASK_AI!$B$5))),ISNUMBER(SEARCH(LOWER(AI_INTENT_DB!C10),LOWER(ASK_AI!$B$5))),ISNUMBER(SEARCH(LOWER(AI_INTENT_DB!D10),LOWER(ASK_AI!$B$5))),ISNUMBER(SEARCH(LOWER(AI_INTENT_DB!E10),LOWER(ASK_AI!$B$5)))),1,0)</f>
        <v>0</v>
      </c>
      <c r="G10" s="14">
        <f>VALUE(SUBSTITUTE(AI_INTENT_DB!I10,"%",""))</f>
        <v>92</v>
      </c>
      <c r="H10" s="14">
        <f>F10*G10</f>
        <v>0</v>
      </c>
      <c r="I10" s="14" t="str">
        <f>AI_INTENT_DB!F10</f>
        <v>Inbound Staging Dwell</v>
      </c>
      <c r="J10" s="14" t="str">
        <f>AI_INTENT_DB!H10</f>
        <v>Inbound</v>
      </c>
      <c r="K10" s="14" t="str">
        <f>AI_INTENT_DB!G10</f>
        <v>Supervisor</v>
      </c>
      <c r="L10" s="14"/>
      <c r="M10" s="14"/>
      <c r="N10" s="14"/>
    </row>
    <row r="11" spans="1:14" x14ac:dyDescent="0.2">
      <c r="A11" s="14" t="s">
        <v>228</v>
      </c>
      <c r="B11" s="14" t="str">
        <f>IF(N4=0,"Ask a clearer WMS/reporting question.",INDEX(AI_INTENT_DB!M:M,N6))</f>
        <v>Filter by order, wave, zone or location.</v>
      </c>
      <c r="C11" s="14"/>
      <c r="D11" s="14">
        <v>11</v>
      </c>
      <c r="E11" s="14" t="str">
        <f>AI_INTENT_DB!A11</f>
        <v>LOC-001</v>
      </c>
      <c r="F11" s="14">
        <f>IF(OR(ISNUMBER(SEARCH(LOWER(AI_INTENT_DB!B11),LOWER(ASK_AI!$B$5))),ISNUMBER(SEARCH(LOWER(AI_INTENT_DB!C11),LOWER(ASK_AI!$B$5))),ISNUMBER(SEARCH(LOWER(AI_INTENT_DB!D11),LOWER(ASK_AI!$B$5))),ISNUMBER(SEARCH(LOWER(AI_INTENT_DB!E11),LOWER(ASK_AI!$B$5)))),1,0)</f>
        <v>0</v>
      </c>
      <c r="G11" s="14">
        <f>VALUE(SUBSTITUTE(AI_INTENT_DB!I11,"%",""))</f>
        <v>90</v>
      </c>
      <c r="H11" s="14">
        <f>F11*G11</f>
        <v>0</v>
      </c>
      <c r="I11" s="14" t="str">
        <f>AI_INTENT_DB!F11</f>
        <v>Empty Locations</v>
      </c>
      <c r="J11" s="14" t="str">
        <f>AI_INTENT_DB!H11</f>
        <v>Locations</v>
      </c>
      <c r="K11" s="14" t="str">
        <f>AI_INTENT_DB!G11</f>
        <v>Supervisor</v>
      </c>
      <c r="L11" s="14"/>
      <c r="M11" s="14"/>
      <c r="N11" s="14"/>
    </row>
    <row r="12" spans="1:14" x14ac:dyDescent="0.2">
      <c r="A12" s="14" t="s">
        <v>13</v>
      </c>
      <c r="B12" s="14" t="str">
        <f>IF(N4=0,"",INDEX(AI_INTENT_DB!J:J,N6))</f>
        <v>[select top 200 pw.wh_id, pw.wrkref, pw.schbat, pw.ordnum, pw.srcloc, pw.dstloc, pw.pcksts, pw.oprcod from pckwrk_view pw with(nolock) where pw.wh_id like '%' and pw.pcksts not in ('C') order by pw.wrkref]</v>
      </c>
      <c r="C12" s="14"/>
      <c r="D12" s="14">
        <v>12</v>
      </c>
      <c r="E12" s="14" t="str">
        <f>AI_INTENT_DB!A12</f>
        <v>CNT-001</v>
      </c>
      <c r="F12" s="14">
        <f>IF(OR(ISNUMBER(SEARCH(LOWER(AI_INTENT_DB!B12),LOWER(ASK_AI!$B$5))),ISNUMBER(SEARCH(LOWER(AI_INTENT_DB!C12),LOWER(ASK_AI!$B$5))),ISNUMBER(SEARCH(LOWER(AI_INTENT_DB!D12),LOWER(ASK_AI!$B$5))),ISNUMBER(SEARCH(LOWER(AI_INTENT_DB!E12),LOWER(ASK_AI!$B$5)))),1,0)</f>
        <v>0</v>
      </c>
      <c r="G12" s="14">
        <f>VALUE(SUBSTITUTE(AI_INTENT_DB!I12,"%",""))</f>
        <v>89</v>
      </c>
      <c r="H12" s="14">
        <f>F12*G12</f>
        <v>0</v>
      </c>
      <c r="I12" s="14" t="str">
        <f>AI_INTENT_DB!F12</f>
        <v>Cycle Count Report</v>
      </c>
      <c r="J12" s="14" t="str">
        <f>AI_INTENT_DB!H12</f>
        <v>Inventory</v>
      </c>
      <c r="K12" s="14" t="str">
        <f>AI_INTENT_DB!G12</f>
        <v>Manager</v>
      </c>
      <c r="L12" s="14"/>
      <c r="M12" s="14"/>
      <c r="N12" s="14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17"/>
  <sheetViews>
    <sheetView workbookViewId="0"/>
  </sheetViews>
  <sheetFormatPr defaultRowHeight="15" x14ac:dyDescent="0.2"/>
  <cols>
    <col min="1" max="10" width="23.9453125" style="38" customWidth="1"/>
  </cols>
  <sheetData>
    <row r="1" spans="1:10" ht="33.950000000000003" customHeight="1" x14ac:dyDescent="0.2">
      <c r="A1" s="28" t="s">
        <v>1513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6.1" customHeight="1" x14ac:dyDescent="0.2">
      <c r="A2" s="29" t="s">
        <v>1514</v>
      </c>
      <c r="B2" s="29"/>
      <c r="C2" s="29"/>
      <c r="D2" s="29"/>
      <c r="E2" s="29"/>
      <c r="F2" s="29"/>
      <c r="G2" s="29"/>
      <c r="H2" s="29"/>
      <c r="I2" s="29"/>
      <c r="J2" s="29"/>
    </row>
    <row r="4" spans="1:10" x14ac:dyDescent="0.2">
      <c r="A4" s="31" t="s">
        <v>1513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x14ac:dyDescent="0.2">
      <c r="A5" s="37" t="str">
        <f>IFERROR(AI_MATCH_ENGINE!B12,"Type a prompt on ASK_AI")</f>
        <v>[select top 200 pw.wh_id, pw.wrkref, pw.schbat, pw.ordnum, pw.srcloc, pw.dstloc, pw.pcksts, pw.oprcod from pckwrk_view pw with(nolock) where pw.wh_id like '%' and pw.pcksts not in ('C') order by pw.wrkref]</v>
      </c>
      <c r="B5" s="37"/>
      <c r="C5" s="37"/>
      <c r="D5" s="37"/>
      <c r="E5" s="37"/>
      <c r="F5" s="37"/>
      <c r="G5" s="37"/>
      <c r="H5" s="37"/>
      <c r="I5" s="37"/>
      <c r="J5" s="37"/>
    </row>
    <row r="6" spans="1:10" x14ac:dyDescent="0.2">
      <c r="A6" s="37"/>
      <c r="B6" s="37"/>
      <c r="C6" s="37"/>
      <c r="D6" s="37"/>
      <c r="E6" s="37"/>
      <c r="F6" s="37"/>
      <c r="G6" s="37"/>
      <c r="H6" s="37"/>
      <c r="I6" s="37"/>
      <c r="J6" s="37"/>
    </row>
    <row r="7" spans="1:10" x14ac:dyDescent="0.2">
      <c r="A7" s="37"/>
      <c r="B7" s="37"/>
      <c r="C7" s="37"/>
      <c r="D7" s="37"/>
      <c r="E7" s="37"/>
      <c r="F7" s="37"/>
      <c r="G7" s="37"/>
      <c r="H7" s="37"/>
      <c r="I7" s="37"/>
      <c r="J7" s="37"/>
    </row>
    <row r="8" spans="1:10" x14ac:dyDescent="0.2">
      <c r="A8" s="37"/>
      <c r="B8" s="37"/>
      <c r="C8" s="37"/>
      <c r="D8" s="37"/>
      <c r="E8" s="37"/>
      <c r="F8" s="37"/>
      <c r="G8" s="37"/>
      <c r="H8" s="37"/>
      <c r="I8" s="37"/>
      <c r="J8" s="37"/>
    </row>
    <row r="9" spans="1:10" x14ac:dyDescent="0.2">
      <c r="A9" s="37"/>
      <c r="B9" s="37"/>
      <c r="C9" s="37"/>
      <c r="D9" s="37"/>
      <c r="E9" s="37"/>
      <c r="F9" s="37"/>
      <c r="G9" s="37"/>
      <c r="H9" s="37"/>
      <c r="I9" s="37"/>
      <c r="J9" s="37"/>
    </row>
    <row r="10" spans="1:10" x14ac:dyDescent="0.2">
      <c r="A10" s="37"/>
      <c r="B10" s="37"/>
      <c r="C10" s="37"/>
      <c r="D10" s="37"/>
      <c r="E10" s="37"/>
      <c r="F10" s="37"/>
      <c r="G10" s="37"/>
      <c r="H10" s="37"/>
      <c r="I10" s="37"/>
      <c r="J10" s="37"/>
    </row>
    <row r="12" spans="1:10" x14ac:dyDescent="0.2">
      <c r="A12" s="45" t="s">
        <v>1515</v>
      </c>
      <c r="B12" s="45"/>
      <c r="C12" s="45"/>
      <c r="D12" s="45"/>
      <c r="E12" s="45"/>
      <c r="F12" s="45"/>
      <c r="G12" s="45"/>
      <c r="H12" s="45"/>
      <c r="I12" s="45"/>
      <c r="J12" s="45"/>
    </row>
    <row r="13" spans="1:10" ht="41.25" x14ac:dyDescent="0.2">
      <c r="A13" s="14" t="s">
        <v>1317</v>
      </c>
      <c r="B13" s="14" t="s">
        <v>1516</v>
      </c>
      <c r="C13" s="14"/>
      <c r="D13" s="14"/>
      <c r="E13" s="14"/>
      <c r="F13" s="14"/>
      <c r="G13" s="14"/>
      <c r="H13" s="14"/>
      <c r="I13" s="14"/>
      <c r="J13" s="14"/>
    </row>
    <row r="14" spans="1:10" ht="54.75" x14ac:dyDescent="0.2">
      <c r="A14" s="14" t="s">
        <v>1398</v>
      </c>
      <c r="B14" s="14" t="s">
        <v>1517</v>
      </c>
      <c r="C14" s="14"/>
      <c r="D14" s="14"/>
      <c r="E14" s="14"/>
      <c r="F14" s="14"/>
      <c r="G14" s="14"/>
      <c r="H14" s="14"/>
      <c r="I14" s="14"/>
      <c r="J14" s="14"/>
    </row>
    <row r="15" spans="1:10" ht="27.75" x14ac:dyDescent="0.2">
      <c r="A15" s="14" t="s">
        <v>1402</v>
      </c>
      <c r="B15" s="14" t="s">
        <v>1518</v>
      </c>
      <c r="C15" s="14"/>
      <c r="D15" s="14"/>
      <c r="E15" s="14"/>
      <c r="F15" s="14"/>
      <c r="G15" s="14"/>
      <c r="H15" s="14"/>
      <c r="I15" s="14"/>
      <c r="J15" s="14"/>
    </row>
    <row r="16" spans="1:10" ht="41.25" x14ac:dyDescent="0.2">
      <c r="A16" s="14" t="s">
        <v>1406</v>
      </c>
      <c r="B16" s="14" t="s">
        <v>1519</v>
      </c>
      <c r="C16" s="14"/>
      <c r="D16" s="14"/>
      <c r="E16" s="14"/>
      <c r="F16" s="14"/>
      <c r="G16" s="14"/>
      <c r="H16" s="14"/>
      <c r="I16" s="14"/>
      <c r="J16" s="14"/>
    </row>
    <row r="17" spans="1:10" ht="27.75" x14ac:dyDescent="0.2">
      <c r="A17" s="14" t="s">
        <v>1520</v>
      </c>
      <c r="B17" s="14" t="s">
        <v>1521</v>
      </c>
      <c r="C17" s="14"/>
      <c r="D17" s="14"/>
      <c r="E17" s="14"/>
      <c r="F17" s="14"/>
      <c r="G17" s="14"/>
      <c r="H17" s="14"/>
      <c r="I17" s="14"/>
      <c r="J17" s="14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20"/>
  <sheetViews>
    <sheetView workbookViewId="0"/>
  </sheetViews>
  <sheetFormatPr defaultRowHeight="15" x14ac:dyDescent="0.2"/>
  <cols>
    <col min="1" max="4" width="27.98046875" style="38" customWidth="1"/>
    <col min="5" max="8" width="22.05859375" style="38" customWidth="1"/>
  </cols>
  <sheetData>
    <row r="1" spans="1:8" ht="33.950000000000003" customHeight="1" x14ac:dyDescent="0.35">
      <c r="A1" s="28" t="s">
        <v>25</v>
      </c>
      <c r="B1" s="28"/>
      <c r="C1" s="28"/>
      <c r="D1" s="28"/>
      <c r="E1" s="28"/>
      <c r="F1" s="28"/>
      <c r="G1" s="28"/>
      <c r="H1" s="28"/>
    </row>
    <row r="2" spans="1:8" ht="26.1" customHeight="1" x14ac:dyDescent="0.2">
      <c r="A2" s="29" t="s">
        <v>1522</v>
      </c>
      <c r="B2" s="29"/>
      <c r="C2" s="29"/>
      <c r="D2" s="29"/>
      <c r="E2" s="29"/>
      <c r="F2" s="29"/>
      <c r="G2" s="29"/>
      <c r="H2" s="29"/>
    </row>
    <row r="4" spans="1:8" x14ac:dyDescent="0.2">
      <c r="A4" s="34" t="s">
        <v>1523</v>
      </c>
      <c r="B4" s="34" t="s">
        <v>39</v>
      </c>
      <c r="C4" s="34" t="s">
        <v>1524</v>
      </c>
      <c r="D4" s="34" t="s">
        <v>254</v>
      </c>
    </row>
    <row r="5" spans="1:8" x14ac:dyDescent="0.2">
      <c r="A5" s="14" t="s">
        <v>1525</v>
      </c>
      <c r="B5" s="14" t="s">
        <v>1526</v>
      </c>
      <c r="C5" s="14" t="s">
        <v>1527</v>
      </c>
      <c r="D5" s="14" t="s">
        <v>1528</v>
      </c>
    </row>
    <row r="6" spans="1:8" x14ac:dyDescent="0.2">
      <c r="A6" s="14" t="s">
        <v>1529</v>
      </c>
      <c r="B6" s="14" t="s">
        <v>1526</v>
      </c>
      <c r="C6" s="14" t="s">
        <v>1530</v>
      </c>
      <c r="D6" s="14" t="s">
        <v>1531</v>
      </c>
    </row>
    <row r="7" spans="1:8" x14ac:dyDescent="0.2">
      <c r="A7" s="14" t="s">
        <v>1532</v>
      </c>
      <c r="B7" s="14" t="s">
        <v>1526</v>
      </c>
      <c r="C7" s="14" t="s">
        <v>1533</v>
      </c>
      <c r="D7" s="14" t="s">
        <v>1534</v>
      </c>
    </row>
    <row r="8" spans="1:8" x14ac:dyDescent="0.2">
      <c r="A8" s="14" t="s">
        <v>1535</v>
      </c>
      <c r="B8" s="14" t="s">
        <v>1526</v>
      </c>
      <c r="C8" s="14" t="s">
        <v>1536</v>
      </c>
      <c r="D8" s="14" t="s">
        <v>1537</v>
      </c>
    </row>
    <row r="9" spans="1:8" x14ac:dyDescent="0.2">
      <c r="A9" s="14" t="s">
        <v>1538</v>
      </c>
      <c r="B9" s="14" t="s">
        <v>1526</v>
      </c>
      <c r="C9" s="14" t="s">
        <v>1539</v>
      </c>
      <c r="D9" s="14" t="s">
        <v>1540</v>
      </c>
    </row>
    <row r="10" spans="1:8" x14ac:dyDescent="0.2">
      <c r="A10" s="14" t="s">
        <v>1541</v>
      </c>
      <c r="B10" s="14" t="s">
        <v>375</v>
      </c>
      <c r="C10" s="14" t="s">
        <v>1542</v>
      </c>
      <c r="D10" s="14" t="s">
        <v>1543</v>
      </c>
    </row>
    <row r="11" spans="1:8" x14ac:dyDescent="0.2">
      <c r="A11" s="14" t="s">
        <v>26</v>
      </c>
      <c r="B11" s="14" t="s">
        <v>27</v>
      </c>
      <c r="C11" s="14" t="s">
        <v>1544</v>
      </c>
      <c r="D11" s="14" t="s">
        <v>1545</v>
      </c>
    </row>
    <row r="12" spans="1:8" x14ac:dyDescent="0.2">
      <c r="A12" s="14"/>
      <c r="B12" s="14"/>
      <c r="C12" s="14"/>
      <c r="D12" s="14"/>
    </row>
    <row r="15" spans="1:8" x14ac:dyDescent="0.2">
      <c r="A15" s="47" t="s">
        <v>1546</v>
      </c>
      <c r="B15" s="47" t="s">
        <v>39</v>
      </c>
      <c r="C15" s="47" t="s">
        <v>1524</v>
      </c>
      <c r="D15" s="47" t="s">
        <v>40</v>
      </c>
    </row>
    <row r="16" spans="1:8" x14ac:dyDescent="0.2">
      <c r="A16" s="14" t="s">
        <v>1547</v>
      </c>
      <c r="B16" s="14" t="s">
        <v>1548</v>
      </c>
      <c r="C16" s="14" t="s">
        <v>1549</v>
      </c>
      <c r="D16" s="14" t="s">
        <v>1550</v>
      </c>
    </row>
    <row r="17" spans="1:4" x14ac:dyDescent="0.2">
      <c r="A17" s="14" t="s">
        <v>1551</v>
      </c>
      <c r="B17" s="14" t="s">
        <v>1526</v>
      </c>
      <c r="C17" s="14" t="s">
        <v>1552</v>
      </c>
      <c r="D17" s="14" t="s">
        <v>1553</v>
      </c>
    </row>
    <row r="18" spans="1:4" x14ac:dyDescent="0.2">
      <c r="A18" s="14" t="s">
        <v>31</v>
      </c>
      <c r="B18" s="14" t="s">
        <v>1526</v>
      </c>
      <c r="C18" s="14" t="s">
        <v>1554</v>
      </c>
      <c r="D18" s="14" t="s">
        <v>1555</v>
      </c>
    </row>
    <row r="19" spans="1:4" x14ac:dyDescent="0.2">
      <c r="A19" s="14" t="s">
        <v>1541</v>
      </c>
      <c r="B19" s="14" t="s">
        <v>375</v>
      </c>
      <c r="C19" s="14" t="s">
        <v>1556</v>
      </c>
      <c r="D19" s="14" t="s">
        <v>1542</v>
      </c>
    </row>
    <row r="20" spans="1:4" x14ac:dyDescent="0.2">
      <c r="A20" s="14" t="s">
        <v>26</v>
      </c>
      <c r="B20" s="14" t="s">
        <v>1557</v>
      </c>
      <c r="C20" s="14" t="s">
        <v>1544</v>
      </c>
      <c r="D20" s="14" t="s">
        <v>1558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9"/>
  <sheetViews>
    <sheetView workbookViewId="0"/>
  </sheetViews>
  <sheetFormatPr defaultRowHeight="15" x14ac:dyDescent="0.2"/>
  <cols>
    <col min="1" max="4" width="27.98046875" style="38" customWidth="1"/>
  </cols>
  <sheetData>
    <row r="1" spans="1:6" ht="39.75" x14ac:dyDescent="0.3">
      <c r="A1" s="46" t="s">
        <v>1559</v>
      </c>
      <c r="B1" s="46"/>
      <c r="C1" s="46"/>
      <c r="D1" s="46"/>
      <c r="E1" s="46"/>
      <c r="F1" s="46"/>
    </row>
    <row r="3" spans="1:6" x14ac:dyDescent="0.2">
      <c r="A3" s="47" t="s">
        <v>103</v>
      </c>
      <c r="B3" s="47" t="s">
        <v>1560</v>
      </c>
      <c r="C3" s="47" t="s">
        <v>1561</v>
      </c>
      <c r="D3" s="47" t="s">
        <v>39</v>
      </c>
    </row>
    <row r="4" spans="1:6" ht="27.75" x14ac:dyDescent="0.2">
      <c r="A4" s="14" t="s">
        <v>1562</v>
      </c>
      <c r="B4" s="14" t="s">
        <v>1563</v>
      </c>
      <c r="C4" s="14" t="s">
        <v>1564</v>
      </c>
      <c r="D4" s="14" t="s">
        <v>180</v>
      </c>
    </row>
    <row r="5" spans="1:6" ht="27.75" x14ac:dyDescent="0.2">
      <c r="A5" s="14" t="s">
        <v>1565</v>
      </c>
      <c r="B5" s="14" t="s">
        <v>1566</v>
      </c>
      <c r="C5" s="14" t="s">
        <v>1567</v>
      </c>
      <c r="D5" s="14" t="s">
        <v>180</v>
      </c>
    </row>
    <row r="6" spans="1:6" x14ac:dyDescent="0.2">
      <c r="A6" s="14" t="s">
        <v>1568</v>
      </c>
      <c r="B6" s="14" t="s">
        <v>1569</v>
      </c>
      <c r="C6" s="14" t="s">
        <v>1570</v>
      </c>
      <c r="D6" s="14" t="s">
        <v>180</v>
      </c>
    </row>
    <row r="7" spans="1:6" x14ac:dyDescent="0.2">
      <c r="A7" s="14" t="s">
        <v>1571</v>
      </c>
      <c r="B7" s="14" t="s">
        <v>1572</v>
      </c>
      <c r="C7" s="14" t="s">
        <v>1573</v>
      </c>
      <c r="D7" s="14" t="s">
        <v>180</v>
      </c>
    </row>
    <row r="8" spans="1:6" ht="27.75" x14ac:dyDescent="0.2">
      <c r="A8" s="14" t="s">
        <v>1574</v>
      </c>
      <c r="B8" s="14" t="s">
        <v>1575</v>
      </c>
      <c r="C8" s="14" t="s">
        <v>1576</v>
      </c>
      <c r="D8" s="14" t="s">
        <v>180</v>
      </c>
    </row>
    <row r="9" spans="1:6" x14ac:dyDescent="0.2">
      <c r="A9" s="14" t="s">
        <v>1577</v>
      </c>
      <c r="B9" s="14" t="s">
        <v>1578</v>
      </c>
      <c r="C9" s="14" t="s">
        <v>1579</v>
      </c>
      <c r="D9" s="14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ASK_AI</vt:lpstr>
      <vt:lpstr>HOME</vt:lpstr>
      <vt:lpstr>AI_WORKSPACE</vt:lpstr>
      <vt:lpstr>MODULE_MAP</vt:lpstr>
      <vt:lpstr>WIL_INDEX</vt:lpstr>
      <vt:lpstr>READINESS</vt:lpstr>
      <vt:lpstr>DELIVER</vt:lpstr>
      <vt:lpstr>BUILD_VALIDATION</vt:lpstr>
      <vt:lpstr>INTEGRATION_CONTROL</vt:lpstr>
      <vt:lpstr>VERSION_REGISTRY</vt:lpstr>
      <vt:lpstr>MODULE_HANDOFF</vt:lpstr>
      <vt:lpstr>BUILD_CONTROL</vt:lpstr>
      <vt:lpstr>WIL_MODULE_CONTROL</vt:lpstr>
      <vt:lpstr>WIL_SCHEMA</vt:lpstr>
      <vt:lpstr>REINTEGRATION_PLAN</vt:lpstr>
      <vt:lpstr>RELEASE_BUNDLE</vt:lpstr>
      <vt:lpstr>PLATFORM_MODULE_CONTROL</vt:lpstr>
      <vt:lpstr>WORKSHOP_MODULE_CONTROL</vt:lpstr>
      <vt:lpstr>MODULE_INDEX</vt:lpstr>
      <vt:lpstr>PROJECT_HUB</vt:lpstr>
      <vt:lpstr>ROLE_EXPERIENCE</vt:lpstr>
      <vt:lpstr>ENGINEERING_LOG</vt:lpstr>
      <vt:lpstr>PRODUCT_MATURITY</vt:lpstr>
      <vt:lpstr>AI_DASHBOARD</vt:lpstr>
      <vt:lpstr>USER_JOURNEYS</vt:lpstr>
      <vt:lpstr>NAVIGATION_MODEL</vt:lpstr>
      <vt:lpstr>WORKSHOP_MODE</vt:lpstr>
      <vt:lpstr>EXECUTIVE_HOME</vt:lpstr>
      <vt:lpstr>FIRST_RUN</vt:lpstr>
      <vt:lpstr>APP_SHELL</vt:lpstr>
      <vt:lpstr>AI_LAUNCHPAD</vt:lpstr>
      <vt:lpstr>HOW_TO_USE_EVEREST</vt:lpstr>
      <vt:lpstr>APPLICATION_HOME</vt:lpstr>
      <vt:lpstr>DISCOVER_BUILD_DELIVER</vt:lpstr>
      <vt:lpstr>ROLE_HOME</vt:lpstr>
      <vt:lpstr>COMMAND_CENTER</vt:lpstr>
      <vt:lpstr>QUICK_START</vt:lpstr>
      <vt:lpstr>APPLICATION_SHELL</vt:lpstr>
      <vt:lpstr>MINIMAL_UI</vt:lpstr>
      <vt:lpstr>AI_INTERVIEW_V2</vt:lpstr>
      <vt:lpstr>GOLD_READINESS</vt:lpstr>
      <vt:lpstr>GOLD_CHECKLIST</vt:lpstr>
      <vt:lpstr>APPLICATION_EXPERIENCE</vt:lpstr>
      <vt:lpstr>HOME_REDESIGN</vt:lpstr>
      <vt:lpstr>APP_NAVIGATION</vt:lpstr>
      <vt:lpstr>PRODUCTION_SCORECARD</vt:lpstr>
      <vt:lpstr>EXECUTIVE_DASHBOARD</vt:lpstr>
      <vt:lpstr>GOLD_RELEASE</vt:lpstr>
      <vt:lpstr>VISIBLE_APP_SHELL</vt:lpstr>
      <vt:lpstr>GOLD_RELEASE_NOTES</vt:lpstr>
      <vt:lpstr>PRODUCT_VISION</vt:lpstr>
      <vt:lpstr>UX_PRINCIPLES</vt:lpstr>
      <vt:lpstr>APPLICATION_STANDARD</vt:lpstr>
      <vt:lpstr>PILOT_READINESS</vt:lpstr>
      <vt:lpstr>RELEASE_SCORECARD</vt:lpstr>
      <vt:lpstr>APPLICATION_MAP</vt:lpstr>
      <vt:lpstr>VISIBLE_SHEET_MODEL</vt:lpstr>
      <vt:lpstr>FINAL_BUILD_COUNTDOWN</vt:lpstr>
      <vt:lpstr>FORMULA_AUDIT</vt:lpstr>
      <vt:lpstr>MERGE_STRATEGY</vt:lpstr>
      <vt:lpstr>MODULE_INTEGRATION</vt:lpstr>
      <vt:lpstr>INTERNAL_WIL_INDEX</vt:lpstr>
      <vt:lpstr>INTERNAL_PLATFORM_INDEX</vt:lpstr>
      <vt:lpstr>GOLD_BUILD_11_STATUS</vt:lpstr>
      <vt:lpstr>EVEREST_GOLD_HOME</vt:lpstr>
      <vt:lpstr>FINAL_RELEASE_BUNDLE</vt:lpstr>
      <vt:lpstr>INTERNAL_WIL_RELEASE_INDEX</vt:lpstr>
      <vt:lpstr>INTERNAL_PLATFORM_RELEASE_INDEX</vt:lpstr>
      <vt:lpstr>FINAL_SIGNOFF</vt:lpstr>
      <vt:lpstr>FINAL_LOOK_REVIEW</vt:lpstr>
      <vt:lpstr>WMS_AI_HOME</vt:lpstr>
      <vt:lpstr>AI_INTENT_DB</vt:lpstr>
      <vt:lpstr>AI_MATCH_ENGINE</vt:lpstr>
      <vt:lpstr>SQL_OUTPUT</vt:lpstr>
      <vt:lpstr>V7_BUILD_STATUS</vt:lpstr>
      <vt:lpstr>SQL_STANDARDS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2026-06-23T17:53:36Z</dcterms:created>
  <dcterms:modified xsi:type="dcterms:W3CDTF">2026-06-23T17:53:36Z</dcterms:modified>
</cp:coreProperties>
</file>